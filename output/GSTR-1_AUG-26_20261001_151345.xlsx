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596" firstSheet="9" activeTab="13" autoFilterDateGrouping="1"/>
  </bookViews>
  <sheets>
    <sheet xmlns:r="http://schemas.openxmlformats.org/officeDocument/2006/relationships" name="SUN REALTY-MEM COLL" sheetId="1" state="visible" r:id="rId1"/>
    <sheet xmlns:r="http://schemas.openxmlformats.org/officeDocument/2006/relationships" name="SUN REALTY-CALC" sheetId="2" state="visible" r:id="rId2"/>
    <sheet xmlns:r="http://schemas.openxmlformats.org/officeDocument/2006/relationships" name="SUN REALTY ATMOS-MEMBERS COLL" sheetId="3" state="visible" r:id="rId3"/>
    <sheet xmlns:r="http://schemas.openxmlformats.org/officeDocument/2006/relationships" name="DATA" sheetId="4" state="hidden" r:id="rId4"/>
    <sheet xmlns:r="http://schemas.openxmlformats.org/officeDocument/2006/relationships" name="SUN REALTY ATMOS-CALC" sheetId="5" state="visible" r:id="rId5"/>
    <sheet xmlns:r="http://schemas.openxmlformats.org/officeDocument/2006/relationships" name="SUN REALTY FOOTPRINT- MEMBERS" sheetId="6" state="visible" r:id="rId6"/>
    <sheet xmlns:r="http://schemas.openxmlformats.org/officeDocument/2006/relationships" name="FOOTPRINT- CALCULATION" sheetId="7" state="visible" r:id="rId7"/>
    <sheet xmlns:r="http://schemas.openxmlformats.org/officeDocument/2006/relationships" name="SUN PARK WEST- MEMBER COLL." sheetId="8" state="visible" r:id="rId8"/>
    <sheet xmlns:r="http://schemas.openxmlformats.org/officeDocument/2006/relationships" name="SUN PARK WEST" sheetId="9" state="visible" r:id="rId9"/>
    <sheet xmlns:r="http://schemas.openxmlformats.org/officeDocument/2006/relationships" name="SUN SILVER SPRING-MEMBER COLL" sheetId="10" state="visible" r:id="rId10"/>
    <sheet xmlns:r="http://schemas.openxmlformats.org/officeDocument/2006/relationships" name="SUN SILVER SPRING" sheetId="11" state="visible" r:id="rId11"/>
    <sheet xmlns:r="http://schemas.openxmlformats.org/officeDocument/2006/relationships" name="LEKHAMBHA- Member coll" sheetId="12" state="hidden" r:id="rId12"/>
    <sheet xmlns:r="http://schemas.openxmlformats.org/officeDocument/2006/relationships" name="LEKHAMBHA" sheetId="13" state="hidden" r:id="rId13"/>
    <sheet xmlns:r="http://schemas.openxmlformats.org/officeDocument/2006/relationships" name="FINAL CALC" sheetId="14" state="visible" r:id="rId14"/>
    <sheet xmlns:r="http://schemas.openxmlformats.org/officeDocument/2006/relationships" name="ENTRIES-SUN REALTY" sheetId="15" state="visible" r:id="rId15"/>
    <sheet xmlns:r="http://schemas.openxmlformats.org/officeDocument/2006/relationships" name="Books-sun realty-JULY'22" sheetId="16" state="hidden" r:id="rId16"/>
    <sheet xmlns:r="http://schemas.openxmlformats.org/officeDocument/2006/relationships" name="Provisional Creditor -JULY'22" sheetId="17" state="hidden" r:id="rId17"/>
    <sheet xmlns:r="http://schemas.openxmlformats.org/officeDocument/2006/relationships" name="ENTRIES-ATMOSPHERE" sheetId="18" state="visible" r:id="rId18"/>
    <sheet xmlns:r="http://schemas.openxmlformats.org/officeDocument/2006/relationships" name="ENTRIES-FOOTPRINT" sheetId="19" state="visible" r:id="rId19"/>
    <sheet xmlns:r="http://schemas.openxmlformats.org/officeDocument/2006/relationships" name="ENTRIES-SUN PARK WEST" sheetId="20" state="visible" r:id="rId20"/>
    <sheet xmlns:r="http://schemas.openxmlformats.org/officeDocument/2006/relationships" name="Entries- Sun Silver Springs" sheetId="21" state="visible" r:id="rId21"/>
    <sheet xmlns:r="http://schemas.openxmlformats.org/officeDocument/2006/relationships" name="PROV Receivable-APRIL" sheetId="22" state="hidden" r:id="rId22"/>
    <sheet xmlns:r="http://schemas.openxmlformats.org/officeDocument/2006/relationships" name="2B RECO - APRIL" sheetId="23" state="hidden" r:id="rId23"/>
  </sheets>
  <definedNames>
    <definedName name="_xlnm.Print_Area" localSheetId="0">'SUN REALTY-MEM COLL'!$C$1:$Z$22</definedName>
    <definedName name="_xlnm.Print_Area" localSheetId="1">'SUN REALTY-CALC'!$A$1:$H$119</definedName>
    <definedName name="_xlnm.Print_Area" localSheetId="2">'SUN REALTY ATMOS-MEMBERS COLL'!$B$1:$W$105</definedName>
    <definedName name="_xlnm._FilterDatabase" localSheetId="3" hidden="1">'DATA'!$B$1:$C$1</definedName>
    <definedName name="_xlnm.Print_Area" localSheetId="4">'SUN REALTY ATMOS-CALC'!$A$1:$F$92</definedName>
    <definedName name="_xlnm._FilterDatabase" localSheetId="5" hidden="1">'SUN REALTY FOOTPRINT- MEMBERS'!$A$7:$N$216</definedName>
    <definedName name="_xlnm.Print_Area" localSheetId="8">'SUN PARK WEST'!$A$1:$Q$79</definedName>
    <definedName name="_xlnm.Print_Area" localSheetId="13">'FINAL CALC'!$A$3:$H$157</definedName>
    <definedName name="_xlnm.Print_Area" localSheetId="14">'ENTRIES-SUN REALTY'!$A$1:$E$70</definedName>
    <definedName name="_xlnm._FilterDatabase" localSheetId="15" hidden="1">'Books-sun realty-JULY''22'!$A$7:$F$80</definedName>
    <definedName name="_xlnm._FilterDatabase" localSheetId="16" hidden="1">'Provisional Creditor -JULY''22'!$A$13:$V$103</definedName>
    <definedName name="_xlnm._FilterDatabase" localSheetId="22" hidden="1">'2B RECO - APRIL'!$A$3:$G$13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_(* #,##0_);_(* \(#,##0\);_(* &quot;-&quot;??_);_(@_)"/>
    <numFmt numFmtId="165" formatCode="_(* #,##0.000_);_(* \(#,##0.000\);_(* &quot;-&quot;??_);_(@_)"/>
    <numFmt numFmtId="166" formatCode="_ * #,##0_ ;_ * \-#,##0_ ;_ * &quot;-&quot;??_ ;_ @_ "/>
    <numFmt numFmtId="167" formatCode="&quot;&quot;0.00"/>
    <numFmt numFmtId="168" formatCode="&quot;&quot;0"/>
    <numFmt numFmtId="169" formatCode="dd\-mm\-yyyy"/>
    <numFmt numFmtId="170" formatCode="_ * #,##0.00_ ;_ * \-#,##0.00_ ;_ * &quot;-&quot;??_ ;_ @_ "/>
    <numFmt numFmtId="171" formatCode="_ &quot;₹&quot;\ * #,##0_ ;_ &quot;₹&quot;\ * \-#,##0_ ;_ &quot;₹&quot;\ * &quot;-&quot;??_ ;_ @_ "/>
    <numFmt numFmtId="172" formatCode="_(* #,##0.0_);_(* \(#,##0.0\);_(* &quot;-&quot;?_);_(@_)"/>
    <numFmt numFmtId="173" formatCode="0.0%"/>
    <numFmt numFmtId="174" formatCode="0.0"/>
    <numFmt numFmtId="175" formatCode="_ &quot;₹&quot;\ * #,##0.00_ ;_ &quot;₹&quot;\ * \-#,##0.00_ ;_ &quot;₹&quot;\ * &quot;-&quot;??_ ;_ @_ "/>
  </numFmts>
  <fonts count="98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Verdana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Verdana"/>
      <family val="2"/>
      <color theme="1"/>
      <sz val="10"/>
    </font>
    <font>
      <name val="Calibri"/>
      <family val="2"/>
      <b val="1"/>
      <color theme="1"/>
      <sz val="28"/>
      <scheme val="minor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b val="1"/>
      <color theme="1"/>
      <sz val="13"/>
      <scheme val="minor"/>
    </font>
    <font>
      <name val="Calibri"/>
      <family val="2"/>
      <color theme="10"/>
      <sz val="11"/>
      <u val="single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Arial"/>
      <family val="2"/>
      <b val="1"/>
      <sz val="12"/>
    </font>
    <font>
      <name val="Verdana"/>
      <family val="2"/>
      <b val="1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3" tint="-0.249977111117893"/>
      <sz val="10"/>
      <scheme val="minor"/>
    </font>
    <font>
      <name val="Calibri"/>
      <family val="2"/>
      <sz val="11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entury Gothic"/>
      <family val="2"/>
      <b val="1"/>
      <color theme="1"/>
      <sz val="12"/>
    </font>
    <font>
      <name val="Century Gothic"/>
      <family val="2"/>
      <color theme="1"/>
      <sz val="12"/>
    </font>
    <font>
      <name val="Century Gothic"/>
      <family val="2"/>
      <color rgb="FF212121"/>
      <sz val="12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Verdana"/>
      <family val="2"/>
      <sz val="11"/>
    </font>
    <font>
      <name val="Arial"/>
      <family val="2"/>
      <color rgb="FFFFFFFF"/>
      <sz val="22"/>
    </font>
    <font>
      <name val="Arial"/>
      <family val="2"/>
      <b val="1"/>
      <color rgb="FF000000"/>
      <sz val="11"/>
    </font>
    <font>
      <name val="Arial"/>
      <family val="2"/>
      <b val="1"/>
      <color rgb="FFFFFFFF"/>
      <sz val="9"/>
    </font>
    <font>
      <name val="Calibri"/>
      <family val="2"/>
      <color theme="1"/>
      <sz val="13"/>
      <scheme val="minor"/>
    </font>
    <font>
      <name val="Calibri"/>
      <family val="2"/>
      <b val="1"/>
      <color theme="3" tint="-0.249977111117893"/>
      <sz val="14"/>
      <scheme val="minor"/>
    </font>
    <font>
      <name val="Verdana"/>
      <family val="2"/>
      <color theme="1"/>
      <sz val="9"/>
    </font>
    <font>
      <name val="Verdana"/>
      <family val="2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color theme="1"/>
      <sz val="10"/>
      <scheme val="minor"/>
    </font>
    <font>
      <name val="Arial"/>
      <family val="2"/>
      <color theme="1"/>
      <sz val="13"/>
    </font>
    <font>
      <name val="Arial"/>
      <family val="2"/>
      <sz val="13"/>
    </font>
    <font>
      <name val="Calibri"/>
      <family val="2"/>
      <b val="1"/>
      <color theme="1"/>
      <sz val="12"/>
      <scheme val="minor"/>
    </font>
    <font>
      <name val="Arial"/>
      <family val="2"/>
      <b val="1"/>
      <sz val="14"/>
    </font>
    <font>
      <name val="Verdana"/>
      <family val="2"/>
      <color theme="1"/>
      <sz val="13"/>
    </font>
    <font>
      <name val="Calibri"/>
      <family val="2"/>
      <color theme="1"/>
      <sz val="11"/>
      <scheme val="minor"/>
    </font>
    <font>
      <name val="Arial"/>
      <family val="2"/>
      <sz val="12"/>
    </font>
    <font>
      <name val="Calibri"/>
      <family val="2"/>
      <color theme="1"/>
      <sz val="28"/>
      <scheme val="minor"/>
    </font>
    <font>
      <name val="Verdana"/>
      <family val="2"/>
      <i val="1"/>
      <color theme="1"/>
      <sz val="11"/>
    </font>
    <font>
      <name val="Verdana"/>
      <family val="2"/>
      <color theme="1"/>
      <sz val="14"/>
    </font>
    <font>
      <name val="Verdana"/>
      <family val="2"/>
      <b val="1"/>
      <sz val="11"/>
    </font>
    <font>
      <name val="Verdana"/>
      <family val="2"/>
      <b val="1"/>
      <sz val="10"/>
    </font>
    <font>
      <name val="Verdana"/>
      <family val="2"/>
      <b val="1"/>
      <color theme="1"/>
      <sz val="28"/>
    </font>
    <font>
      <name val="Verdana"/>
      <family val="2"/>
      <sz val="10"/>
    </font>
    <font>
      <name val="Verdana"/>
      <family val="2"/>
      <b val="1"/>
      <color rgb="FFFF0000"/>
      <sz val="11"/>
    </font>
    <font>
      <name val="Verdana"/>
      <family val="2"/>
      <b val="1"/>
      <color theme="1"/>
      <sz val="13"/>
    </font>
    <font>
      <name val="Verdana"/>
      <family val="2"/>
      <b val="1"/>
      <sz val="12"/>
    </font>
    <font>
      <name val="Verdana"/>
      <family val="2"/>
      <b val="1"/>
      <color rgb="FFFF0000"/>
      <sz val="10"/>
    </font>
    <font>
      <name val="Verdana"/>
      <family val="2"/>
      <color rgb="FFFF0000"/>
      <sz val="10"/>
    </font>
    <font>
      <name val="Verdana"/>
      <family val="2"/>
      <color rgb="FFFF0000"/>
      <sz val="11"/>
    </font>
    <font>
      <name val="Verdana"/>
      <family val="2"/>
      <b val="1"/>
      <color theme="1"/>
      <sz val="11"/>
      <u val="singleAccounting"/>
    </font>
    <font>
      <name val="Verdana"/>
      <family val="2"/>
      <color theme="1"/>
      <sz val="15"/>
    </font>
    <font>
      <name val="Verdana"/>
      <family val="2"/>
      <color theme="10"/>
      <sz val="11"/>
      <u val="single"/>
    </font>
    <font>
      <name val="Verdana"/>
      <family val="2"/>
      <b val="1"/>
      <color rgb="FF7030A0"/>
      <sz val="10"/>
    </font>
    <font>
      <name val="Verdana"/>
      <family val="2"/>
      <color rgb="FF7030A0"/>
      <sz val="10"/>
    </font>
    <font>
      <name val="Verdana"/>
      <family val="2"/>
      <color rgb="FF7030A0"/>
      <sz val="11"/>
    </font>
    <font>
      <name val="Verdana"/>
      <family val="2"/>
      <b val="1"/>
      <color theme="1"/>
      <sz val="12"/>
    </font>
    <font>
      <name val="Verdana"/>
      <family val="2"/>
      <b val="1"/>
      <color theme="1"/>
      <sz val="10"/>
    </font>
    <font>
      <name val="Verdana"/>
      <family val="2"/>
      <b val="1"/>
      <color theme="1"/>
      <sz val="15"/>
    </font>
    <font>
      <name val="Verdana"/>
      <family val="2"/>
      <b val="1"/>
      <color theme="1"/>
      <sz val="14"/>
    </font>
    <font>
      <name val="Verdana"/>
      <family val="2"/>
      <b val="1"/>
      <color rgb="FF7030A0"/>
      <sz val="9"/>
    </font>
    <font>
      <name val="Verdana"/>
      <family val="2"/>
      <color theme="1"/>
      <sz val="16"/>
    </font>
    <font>
      <name val="Verdana"/>
      <family val="2"/>
      <sz val="12"/>
    </font>
    <font>
      <name val="Verdana"/>
      <family val="2"/>
      <color theme="1"/>
      <sz val="8"/>
    </font>
  </fonts>
  <fills count="2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5">
    <xf numFmtId="0" fontId="0" fillId="0" borderId="0"/>
    <xf numFmtId="43" fontId="69" fillId="0" borderId="0"/>
    <xf numFmtId="9" fontId="69" fillId="0" borderId="0"/>
    <xf numFmtId="0" fontId="37" fillId="0" borderId="0" applyAlignment="1" applyProtection="1">
      <alignment vertical="top"/>
      <protection locked="0" hidden="0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9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43" fontId="69" fillId="0" borderId="0"/>
    <xf numFmtId="0" fontId="69" fillId="0" borderId="0"/>
    <xf numFmtId="175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9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9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0" fontId="69" fillId="0" borderId="0"/>
    <xf numFmtId="175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43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9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43" fontId="69" fillId="0" borderId="0"/>
    <xf numFmtId="0" fontId="69" fillId="0" borderId="0"/>
    <xf numFmtId="175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9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9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0" fontId="69" fillId="0" borderId="0"/>
    <xf numFmtId="175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</cellStyleXfs>
  <cellXfs count="1437">
    <xf numFmtId="0" fontId="0" fillId="0" borderId="0" pivotButton="0" quotePrefix="0" xfId="0"/>
    <xf numFmtId="0" fontId="29" fillId="0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/>
    </xf>
    <xf numFmtId="0" fontId="29" fillId="0" borderId="9" applyAlignment="1" pivotButton="0" quotePrefix="0" xfId="0">
      <alignment horizontal="center"/>
    </xf>
    <xf numFmtId="0" fontId="32" fillId="0" borderId="9" pivotButton="0" quotePrefix="0" xfId="0"/>
    <xf numFmtId="164" fontId="29" fillId="0" borderId="9" pivotButton="0" quotePrefix="0" xfId="1"/>
    <xf numFmtId="164" fontId="29" fillId="0" borderId="9" pivotButton="0" quotePrefix="0" xfId="0"/>
    <xf numFmtId="0" fontId="29" fillId="0" borderId="9" pivotButton="0" quotePrefix="0" xfId="0"/>
    <xf numFmtId="0" fontId="0" fillId="0" borderId="6" applyAlignment="1" pivotButton="0" quotePrefix="0" xfId="0">
      <alignment horizontal="center"/>
    </xf>
    <xf numFmtId="0" fontId="29" fillId="0" borderId="6" pivotButton="0" quotePrefix="0" xfId="0"/>
    <xf numFmtId="164" fontId="0" fillId="0" borderId="6" pivotButton="0" quotePrefix="0" xfId="1"/>
    <xf numFmtId="164" fontId="34" fillId="0" borderId="12" applyAlignment="1" pivotButton="0" quotePrefix="0" xfId="1">
      <alignment horizontal="center" vertical="center" wrapText="1"/>
    </xf>
    <xf numFmtId="164" fontId="34" fillId="0" borderId="20" applyAlignment="1" pivotButton="0" quotePrefix="0" xfId="1">
      <alignment horizontal="center" vertical="center" wrapText="1"/>
    </xf>
    <xf numFmtId="164" fontId="34" fillId="0" borderId="21" applyAlignment="1" pivotButton="0" quotePrefix="0" xfId="1">
      <alignment horizontal="center" vertical="center" wrapText="1"/>
    </xf>
    <xf numFmtId="164" fontId="34" fillId="0" borderId="13" applyAlignment="1" pivotButton="0" quotePrefix="0" xfId="1">
      <alignment horizontal="center" vertical="center" wrapText="1"/>
    </xf>
    <xf numFmtId="164" fontId="34" fillId="0" borderId="12" applyAlignment="1" pivotButton="0" quotePrefix="0" xfId="1">
      <alignment horizontal="left"/>
    </xf>
    <xf numFmtId="164" fontId="35" fillId="0" borderId="21" applyAlignment="1" pivotButton="0" quotePrefix="0" xfId="1">
      <alignment horizontal="center"/>
    </xf>
    <xf numFmtId="164" fontId="35" fillId="0" borderId="20" applyAlignment="1" pivotButton="0" quotePrefix="0" xfId="1">
      <alignment horizontal="center"/>
    </xf>
    <xf numFmtId="10" fontId="0" fillId="0" borderId="21" applyAlignment="1" pivotButton="0" quotePrefix="0" xfId="2">
      <alignment horizontal="center"/>
    </xf>
    <xf numFmtId="164" fontId="0" fillId="0" borderId="20" pivotButton="0" quotePrefix="0" xfId="1"/>
    <xf numFmtId="164" fontId="0" fillId="0" borderId="13" pivotButton="0" quotePrefix="0" xfId="1"/>
    <xf numFmtId="164" fontId="35" fillId="0" borderId="9" applyAlignment="1" pivotButton="0" quotePrefix="0" xfId="1">
      <alignment horizontal="center"/>
    </xf>
    <xf numFmtId="164" fontId="35" fillId="0" borderId="13" applyAlignment="1" pivotButton="0" quotePrefix="0" xfId="1">
      <alignment horizontal="center"/>
    </xf>
    <xf numFmtId="164" fontId="35" fillId="0" borderId="26" applyAlignment="1" pivotButton="0" quotePrefix="0" xfId="1">
      <alignment horizontal="center"/>
    </xf>
    <xf numFmtId="43" fontId="0" fillId="0" borderId="0" pivotButton="0" quotePrefix="0" xfId="1"/>
    <xf numFmtId="165" fontId="0" fillId="0" borderId="0" pivotButton="0" quotePrefix="0" xfId="1"/>
    <xf numFmtId="43" fontId="36" fillId="0" borderId="0" applyAlignment="1" pivotButton="0" quotePrefix="0" xfId="1">
      <alignment horizontal="center" vertical="center" wrapText="1"/>
    </xf>
    <xf numFmtId="43" fontId="0" fillId="0" borderId="12" pivotButton="0" quotePrefix="0" xfId="1"/>
    <xf numFmtId="164" fontId="0" fillId="0" borderId="0" pivotButton="0" quotePrefix="0" xfId="1"/>
    <xf numFmtId="43" fontId="31" fillId="0" borderId="12" pivotButton="0" quotePrefix="0" xfId="1"/>
    <xf numFmtId="43" fontId="31" fillId="0" borderId="1" applyAlignment="1" pivotButton="0" quotePrefix="0" xfId="1">
      <alignment horizontal="right"/>
    </xf>
    <xf numFmtId="164" fontId="31" fillId="0" borderId="0" applyAlignment="1" pivotButton="0" quotePrefix="0" xfId="1">
      <alignment horizontal="right"/>
    </xf>
    <xf numFmtId="164" fontId="0" fillId="0" borderId="0" pivotButton="0" quotePrefix="0" xfId="0"/>
    <xf numFmtId="164" fontId="31" fillId="0" borderId="8" applyAlignment="1" pivotButton="0" quotePrefix="0" xfId="1">
      <alignment horizontal="right"/>
    </xf>
    <xf numFmtId="164" fontId="38" fillId="0" borderId="0" pivotButton="0" quotePrefix="0" xfId="1"/>
    <xf numFmtId="164" fontId="38" fillId="0" borderId="0" applyAlignment="1" pivotButton="0" quotePrefix="0" xfId="1">
      <alignment horizontal="center"/>
    </xf>
    <xf numFmtId="164" fontId="38" fillId="0" borderId="0" pivotButton="0" quotePrefix="0" xfId="1"/>
    <xf numFmtId="164" fontId="38" fillId="0" borderId="0" pivotButton="0" quotePrefix="0" xfId="1"/>
    <xf numFmtId="164" fontId="38" fillId="0" borderId="0" pivotButton="0" quotePrefix="0" xfId="1"/>
    <xf numFmtId="164" fontId="38" fillId="0" borderId="9" pivotButton="0" quotePrefix="0" xfId="1"/>
    <xf numFmtId="164" fontId="30" fillId="0" borderId="8" applyAlignment="1" pivotButton="0" quotePrefix="0" xfId="1">
      <alignment horizontal="center"/>
    </xf>
    <xf numFmtId="0" fontId="31" fillId="0" borderId="0" pivotButton="0" quotePrefix="0" xfId="0"/>
    <xf numFmtId="164" fontId="34" fillId="0" borderId="16" applyAlignment="1" pivotButton="0" quotePrefix="0" xfId="1">
      <alignment horizontal="center" vertical="center" wrapText="1"/>
    </xf>
    <xf numFmtId="164" fontId="34" fillId="0" borderId="17" applyAlignment="1" pivotButton="0" quotePrefix="0" xfId="1">
      <alignment horizontal="center" vertical="center" wrapText="1"/>
    </xf>
    <xf numFmtId="164" fontId="34" fillId="0" borderId="18" applyAlignment="1" pivotButton="0" quotePrefix="0" xfId="1">
      <alignment horizontal="center" vertical="center" wrapText="1"/>
    </xf>
    <xf numFmtId="164" fontId="34" fillId="0" borderId="24" pivotButton="0" quotePrefix="0" xfId="1"/>
    <xf numFmtId="164" fontId="34" fillId="0" borderId="0" pivotButton="0" quotePrefix="0" xfId="1"/>
    <xf numFmtId="164" fontId="0" fillId="0" borderId="0" pivotButton="0" quotePrefix="0" xfId="1"/>
    <xf numFmtId="164" fontId="31" fillId="0" borderId="12" applyAlignment="1" pivotButton="0" quotePrefix="0" xfId="1">
      <alignment horizontal="left" vertical="top"/>
    </xf>
    <xf numFmtId="164" fontId="31" fillId="0" borderId="8" applyAlignment="1" pivotButton="0" quotePrefix="0" xfId="1">
      <alignment horizontal="left" vertical="top"/>
    </xf>
    <xf numFmtId="164" fontId="31" fillId="0" borderId="25" applyAlignment="1" pivotButton="0" quotePrefix="0" xfId="1">
      <alignment horizontal="left" vertical="top"/>
    </xf>
    <xf numFmtId="164" fontId="34" fillId="0" borderId="23" applyAlignment="1" pivotButton="0" quotePrefix="0" xfId="1">
      <alignment horizontal="left"/>
    </xf>
    <xf numFmtId="164" fontId="34" fillId="0" borderId="0" applyAlignment="1" pivotButton="0" quotePrefix="0" xfId="1">
      <alignment horizontal="left"/>
    </xf>
    <xf numFmtId="164" fontId="34" fillId="0" borderId="0" pivotButton="0" quotePrefix="0" xfId="1"/>
    <xf numFmtId="164" fontId="34" fillId="0" borderId="8" applyAlignment="1" pivotButton="0" quotePrefix="0" xfId="1">
      <alignment horizontal="center" vertical="center"/>
    </xf>
    <xf numFmtId="164" fontId="34" fillId="0" borderId="8" applyAlignment="1" pivotButton="0" quotePrefix="0" xfId="1">
      <alignment horizontal="center" vertical="center" wrapText="1"/>
    </xf>
    <xf numFmtId="164" fontId="34" fillId="0" borderId="0" applyAlignment="1" pivotButton="0" quotePrefix="0" xfId="1">
      <alignment horizontal="center"/>
    </xf>
    <xf numFmtId="164" fontId="34" fillId="0" borderId="12" applyAlignment="1" pivotButton="0" quotePrefix="0" xfId="1">
      <alignment horizontal="center"/>
    </xf>
    <xf numFmtId="164" fontId="34" fillId="0" borderId="4" applyAlignment="1" pivotButton="0" quotePrefix="0" xfId="1">
      <alignment horizontal="center"/>
    </xf>
    <xf numFmtId="164" fontId="34" fillId="0" borderId="5" applyAlignment="1" pivotButton="0" quotePrefix="0" xfId="1">
      <alignment horizontal="center"/>
    </xf>
    <xf numFmtId="164" fontId="34" fillId="0" borderId="26" applyAlignment="1" pivotButton="0" quotePrefix="0" xfId="1">
      <alignment horizontal="center"/>
    </xf>
    <xf numFmtId="164" fontId="35" fillId="0" borderId="12" applyAlignment="1" pivotButton="0" quotePrefix="0" xfId="1">
      <alignment horizontal="left"/>
    </xf>
    <xf numFmtId="164" fontId="35" fillId="0" borderId="0" applyAlignment="1" pivotButton="0" quotePrefix="0" xfId="1">
      <alignment horizontal="center"/>
    </xf>
    <xf numFmtId="164" fontId="35" fillId="0" borderId="6" applyAlignment="1" pivotButton="0" quotePrefix="0" xfId="1">
      <alignment horizontal="center"/>
    </xf>
    <xf numFmtId="164" fontId="35" fillId="0" borderId="27" applyAlignment="1" pivotButton="0" quotePrefix="0" xfId="1">
      <alignment horizontal="left"/>
    </xf>
    <xf numFmtId="164" fontId="35" fillId="0" borderId="28" applyAlignment="1" pivotButton="0" quotePrefix="0" xfId="1">
      <alignment horizontal="center"/>
    </xf>
    <xf numFmtId="164" fontId="35" fillId="0" borderId="30" applyAlignment="1" pivotButton="0" quotePrefix="0" xfId="1">
      <alignment horizontal="center"/>
    </xf>
    <xf numFmtId="164" fontId="31" fillId="0" borderId="0" pivotButton="0" quotePrefix="0" xfId="1"/>
    <xf numFmtId="164" fontId="34" fillId="0" borderId="1" applyAlignment="1" pivotButton="0" quotePrefix="0" xfId="1">
      <alignment horizontal="left"/>
    </xf>
    <xf numFmtId="164" fontId="34" fillId="0" borderId="8" pivotButton="0" quotePrefix="0" xfId="1"/>
    <xf numFmtId="164" fontId="39" fillId="0" borderId="0" applyAlignment="1" pivotButton="0" quotePrefix="0" xfId="1">
      <alignment horizontal="left"/>
    </xf>
    <xf numFmtId="164" fontId="43" fillId="0" borderId="0" applyAlignment="1" pivotButton="0" quotePrefix="0" xfId="1">
      <alignment horizontal="left"/>
    </xf>
    <xf numFmtId="43" fontId="0" fillId="0" borderId="0" pivotButton="0" quotePrefix="0" xfId="0"/>
    <xf numFmtId="0" fontId="32" fillId="0" borderId="9" applyAlignment="1" pivotButton="0" quotePrefix="0" xfId="0">
      <alignment horizontal="left" indent="3"/>
    </xf>
    <xf numFmtId="0" fontId="32" fillId="0" borderId="9" applyAlignment="1" pivotButton="0" quotePrefix="0" xfId="0">
      <alignment horizontal="left"/>
    </xf>
    <xf numFmtId="14" fontId="0" fillId="0" borderId="0" pivotButton="0" quotePrefix="0" xfId="0"/>
    <xf numFmtId="10" fontId="0" fillId="0" borderId="20" applyAlignment="1" pivotButton="0" quotePrefix="0" xfId="2">
      <alignment horizontal="center"/>
    </xf>
    <xf numFmtId="164" fontId="34" fillId="0" borderId="31" applyAlignment="1" pivotButton="0" quotePrefix="0" xfId="1">
      <alignment horizontal="center" vertical="center" wrapText="1"/>
    </xf>
    <xf numFmtId="164" fontId="34" fillId="0" borderId="32" applyAlignment="1" pivotButton="0" quotePrefix="0" xfId="1">
      <alignment horizontal="center" vertical="center" wrapText="1"/>
    </xf>
    <xf numFmtId="164" fontId="34" fillId="0" borderId="33" applyAlignment="1" pivotButton="0" quotePrefix="0" xfId="1">
      <alignment horizontal="center" vertical="center" wrapText="1"/>
    </xf>
    <xf numFmtId="164" fontId="34" fillId="0" borderId="31" applyAlignment="1" pivotButton="0" quotePrefix="0" xfId="1">
      <alignment horizontal="center"/>
    </xf>
    <xf numFmtId="164" fontId="34" fillId="0" borderId="32" pivotButton="0" quotePrefix="0" xfId="1"/>
    <xf numFmtId="164" fontId="34" fillId="0" borderId="33" pivotButton="0" quotePrefix="0" xfId="1"/>
    <xf numFmtId="0" fontId="48" fillId="0" borderId="0" pivotButton="0" quotePrefix="0" xfId="5"/>
    <xf numFmtId="0" fontId="47" fillId="0" borderId="34" applyAlignment="1" pivotButton="0" quotePrefix="0" xfId="5">
      <alignment horizontal="center" vertical="center"/>
    </xf>
    <xf numFmtId="0" fontId="48" fillId="0" borderId="34" pivotButton="0" quotePrefix="0" xfId="5"/>
    <xf numFmtId="166" fontId="48" fillId="0" borderId="34" pivotButton="0" quotePrefix="0" xfId="6"/>
    <xf numFmtId="166" fontId="48" fillId="0" borderId="34" applyAlignment="1" pivotButton="0" quotePrefix="0" xfId="6">
      <alignment vertical="top"/>
    </xf>
    <xf numFmtId="166" fontId="48" fillId="0" borderId="34" applyAlignment="1" pivotButton="0" quotePrefix="0" xfId="6">
      <alignment horizontal="right" vertical="top"/>
    </xf>
    <xf numFmtId="49" fontId="48" fillId="0" borderId="34" applyAlignment="1" pivotButton="0" quotePrefix="0" xfId="5">
      <alignment vertical="top"/>
    </xf>
    <xf numFmtId="0" fontId="48" fillId="0" borderId="34" applyAlignment="1" pivotButton="0" quotePrefix="0" xfId="6">
      <alignment vertical="top"/>
    </xf>
    <xf numFmtId="0" fontId="49" fillId="0" borderId="34" applyAlignment="1" pivotButton="0" quotePrefix="0" xfId="5">
      <alignment horizontal="left" vertical="center" wrapText="1" indent="1"/>
    </xf>
    <xf numFmtId="166" fontId="48" fillId="0" borderId="34" pivotButton="0" quotePrefix="0" xfId="5"/>
    <xf numFmtId="0" fontId="46" fillId="0" borderId="0" applyAlignment="1" pivotButton="0" quotePrefix="0" xfId="5">
      <alignment vertical="top"/>
    </xf>
    <xf numFmtId="0" fontId="27" fillId="0" borderId="0" pivotButton="0" quotePrefix="0" xfId="5"/>
    <xf numFmtId="49" fontId="51" fillId="0" borderId="39" applyAlignment="1" pivotButton="0" quotePrefix="0" xfId="5">
      <alignment horizontal="right" vertical="top"/>
    </xf>
    <xf numFmtId="49" fontId="51" fillId="0" borderId="39" applyAlignment="1" pivotButton="0" quotePrefix="0" xfId="5">
      <alignment vertical="top"/>
    </xf>
    <xf numFmtId="49" fontId="52" fillId="0" borderId="39" applyAlignment="1" pivotButton="0" quotePrefix="0" xfId="5">
      <alignment horizontal="right" vertical="top"/>
    </xf>
    <xf numFmtId="14" fontId="46" fillId="0" borderId="0" applyAlignment="1" pivotButton="0" quotePrefix="0" xfId="5">
      <alignment horizontal="right" vertical="top"/>
    </xf>
    <xf numFmtId="49" fontId="46" fillId="0" borderId="0" applyAlignment="1" pivotButton="0" quotePrefix="0" xfId="5">
      <alignment vertical="top"/>
    </xf>
    <xf numFmtId="167" fontId="45" fillId="0" borderId="0" applyAlignment="1" pivotButton="0" quotePrefix="0" xfId="5">
      <alignment horizontal="right" vertical="top"/>
    </xf>
    <xf numFmtId="168" fontId="45" fillId="0" borderId="0" applyAlignment="1" pivotButton="0" quotePrefix="0" xfId="5">
      <alignment horizontal="right" vertical="top"/>
    </xf>
    <xf numFmtId="14" fontId="51" fillId="0" borderId="0" applyAlignment="1" pivotButton="0" quotePrefix="0" xfId="5">
      <alignment horizontal="right" vertical="top"/>
    </xf>
    <xf numFmtId="49" fontId="45" fillId="0" borderId="0" applyAlignment="1" pivotButton="0" quotePrefix="0" xfId="5">
      <alignment vertical="top"/>
    </xf>
    <xf numFmtId="49" fontId="52" fillId="0" borderId="0" applyAlignment="1" pivotButton="0" quotePrefix="0" xfId="5">
      <alignment vertical="top"/>
    </xf>
    <xf numFmtId="49" fontId="51" fillId="0" borderId="0" applyAlignment="1" pivotButton="0" quotePrefix="0" xfId="5">
      <alignment horizontal="right" vertical="top"/>
    </xf>
    <xf numFmtId="168" fontId="46" fillId="0" borderId="41" applyAlignment="1" pivotButton="0" quotePrefix="0" xfId="5">
      <alignment horizontal="right" vertical="top"/>
    </xf>
    <xf numFmtId="49" fontId="46" fillId="0" borderId="0" applyAlignment="1" pivotButton="0" quotePrefix="0" xfId="5">
      <alignment horizontal="right" vertical="top"/>
    </xf>
    <xf numFmtId="49" fontId="45" fillId="0" borderId="0" applyAlignment="1" pivotButton="0" quotePrefix="0" xfId="5">
      <alignment horizontal="left" vertical="top" indent="5"/>
    </xf>
    <xf numFmtId="167" fontId="46" fillId="0" borderId="0" applyAlignment="1" pivotButton="0" quotePrefix="0" xfId="5">
      <alignment horizontal="right" vertical="top"/>
    </xf>
    <xf numFmtId="167" fontId="45" fillId="0" borderId="39" applyAlignment="1" pivotButton="0" quotePrefix="0" xfId="5">
      <alignment horizontal="right" vertical="top"/>
    </xf>
    <xf numFmtId="0" fontId="31" fillId="0" borderId="0" pivotButton="0" quotePrefix="0" xfId="7"/>
    <xf numFmtId="0" fontId="27" fillId="0" borderId="0" pivotButton="0" quotePrefix="0" xfId="7"/>
    <xf numFmtId="0" fontId="48" fillId="2" borderId="0" pivotButton="0" quotePrefix="0" xfId="5"/>
    <xf numFmtId="0" fontId="27" fillId="2" borderId="0" pivotButton="0" quotePrefix="0" xfId="7"/>
    <xf numFmtId="0" fontId="44" fillId="4" borderId="0" applyAlignment="1" pivotButton="0" quotePrefix="0" xfId="0">
      <alignment horizontal="left"/>
    </xf>
    <xf numFmtId="2" fontId="44" fillId="4" borderId="0" applyAlignment="1" pivotButton="0" quotePrefix="0" xfId="0">
      <alignment horizontal="right"/>
    </xf>
    <xf numFmtId="0" fontId="48" fillId="4" borderId="0" pivotButton="0" quotePrefix="0" xfId="5"/>
    <xf numFmtId="0" fontId="48" fillId="4" borderId="34" pivotButton="0" quotePrefix="0" xfId="5"/>
    <xf numFmtId="0" fontId="49" fillId="4" borderId="34" applyAlignment="1" pivotButton="0" quotePrefix="0" xfId="5">
      <alignment horizontal="left" vertical="center" wrapText="1" indent="1"/>
    </xf>
    <xf numFmtId="166" fontId="48" fillId="4" borderId="34" pivotButton="0" quotePrefix="0" xfId="6"/>
    <xf numFmtId="49" fontId="48" fillId="4" borderId="34" applyAlignment="1" pivotButton="0" quotePrefix="0" xfId="5">
      <alignment vertical="top"/>
    </xf>
    <xf numFmtId="166" fontId="48" fillId="4" borderId="34" applyAlignment="1" pivotButton="0" quotePrefix="0" xfId="6">
      <alignment horizontal="right" vertical="top"/>
    </xf>
    <xf numFmtId="14" fontId="51" fillId="2" borderId="0" applyAlignment="1" pivotButton="0" quotePrefix="0" xfId="5">
      <alignment horizontal="right" vertical="top"/>
    </xf>
    <xf numFmtId="49" fontId="46" fillId="2" borderId="0" applyAlignment="1" pivotButton="0" quotePrefix="0" xfId="5">
      <alignment vertical="top"/>
    </xf>
    <xf numFmtId="49" fontId="45" fillId="2" borderId="0" applyAlignment="1" pivotButton="0" quotePrefix="0" xfId="5">
      <alignment vertical="top"/>
    </xf>
    <xf numFmtId="49" fontId="52" fillId="2" borderId="0" applyAlignment="1" pivotButton="0" quotePrefix="0" xfId="5">
      <alignment vertical="top"/>
    </xf>
    <xf numFmtId="49" fontId="51" fillId="2" borderId="0" applyAlignment="1" pivotButton="0" quotePrefix="0" xfId="5">
      <alignment horizontal="right" vertical="top"/>
    </xf>
    <xf numFmtId="167" fontId="45" fillId="2" borderId="0" applyAlignment="1" pivotButton="0" quotePrefix="0" xfId="5">
      <alignment horizontal="right" vertical="top"/>
    </xf>
    <xf numFmtId="168" fontId="45" fillId="2" borderId="0" applyAlignment="1" pivotButton="0" quotePrefix="0" xfId="5">
      <alignment horizontal="right" vertical="top"/>
    </xf>
    <xf numFmtId="0" fontId="27" fillId="2" borderId="0" pivotButton="0" quotePrefix="0" xfId="5"/>
    <xf numFmtId="0" fontId="27" fillId="5" borderId="0" pivotButton="0" quotePrefix="0" xfId="7"/>
    <xf numFmtId="0" fontId="48" fillId="5" borderId="0" pivotButton="0" quotePrefix="0" xfId="5"/>
    <xf numFmtId="0" fontId="44" fillId="6" borderId="0" applyAlignment="1" pivotButton="0" quotePrefix="0" xfId="0">
      <alignment horizontal="left"/>
    </xf>
    <xf numFmtId="2" fontId="44" fillId="6" borderId="0" applyAlignment="1" pivotButton="0" quotePrefix="0" xfId="0">
      <alignment horizontal="right"/>
    </xf>
    <xf numFmtId="0" fontId="48" fillId="6" borderId="0" pivotButton="0" quotePrefix="0" xfId="5"/>
    <xf numFmtId="0" fontId="0" fillId="0" borderId="34" pivotButton="0" quotePrefix="0" xfId="0"/>
    <xf numFmtId="164" fontId="53" fillId="0" borderId="9" pivotButton="0" quotePrefix="0" xfId="1"/>
    <xf numFmtId="164" fontId="30" fillId="0" borderId="0" applyAlignment="1" pivotButton="0" quotePrefix="0" xfId="1">
      <alignment horizontal="center"/>
    </xf>
    <xf numFmtId="43" fontId="38" fillId="0" borderId="9" pivotButton="0" quotePrefix="0" xfId="1"/>
    <xf numFmtId="43" fontId="38" fillId="0" borderId="13" pivotButton="0" quotePrefix="0" xfId="1"/>
    <xf numFmtId="0" fontId="46" fillId="0" borderId="0" applyAlignment="1" pivotButton="0" quotePrefix="0" xfId="9">
      <alignment vertical="top"/>
    </xf>
    <xf numFmtId="0" fontId="24" fillId="0" borderId="0" pivotButton="0" quotePrefix="0" xfId="9"/>
    <xf numFmtId="49" fontId="51" fillId="0" borderId="39" applyAlignment="1" pivotButton="0" quotePrefix="0" xfId="9">
      <alignment horizontal="right" vertical="top"/>
    </xf>
    <xf numFmtId="49" fontId="52" fillId="0" borderId="39" applyAlignment="1" pivotButton="0" quotePrefix="0" xfId="9">
      <alignment vertical="top"/>
    </xf>
    <xf numFmtId="49" fontId="51" fillId="0" borderId="39" applyAlignment="1" pivotButton="0" quotePrefix="0" xfId="9">
      <alignment vertical="top"/>
    </xf>
    <xf numFmtId="49" fontId="52" fillId="0" borderId="39" applyAlignment="1" pivotButton="0" quotePrefix="0" xfId="9">
      <alignment horizontal="right" vertical="top"/>
    </xf>
    <xf numFmtId="169" fontId="51" fillId="0" borderId="0" applyAlignment="1" pivotButton="0" quotePrefix="0" xfId="9">
      <alignment horizontal="right" vertical="top"/>
    </xf>
    <xf numFmtId="49" fontId="45" fillId="0" borderId="0" applyAlignment="1" pivotButton="0" quotePrefix="0" xfId="9">
      <alignment vertical="top"/>
    </xf>
    <xf numFmtId="49" fontId="52" fillId="0" borderId="0" applyAlignment="1" pivotButton="0" quotePrefix="0" xfId="9">
      <alignment vertical="top"/>
    </xf>
    <xf numFmtId="49" fontId="51" fillId="0" borderId="0" applyAlignment="1" pivotButton="0" quotePrefix="0" xfId="9">
      <alignment horizontal="right" vertical="top"/>
    </xf>
    <xf numFmtId="167" fontId="45" fillId="2" borderId="0" applyAlignment="1" pivotButton="0" quotePrefix="0" xfId="9">
      <alignment horizontal="right" vertical="top"/>
    </xf>
    <xf numFmtId="168" fontId="45" fillId="0" borderId="0" applyAlignment="1" pivotButton="0" quotePrefix="0" xfId="9">
      <alignment horizontal="right" vertical="top"/>
    </xf>
    <xf numFmtId="167" fontId="45" fillId="0" borderId="0" applyAlignment="1" pivotButton="0" quotePrefix="0" xfId="9">
      <alignment horizontal="right" vertical="top"/>
    </xf>
    <xf numFmtId="0" fontId="24" fillId="7" borderId="0" pivotButton="0" quotePrefix="0" xfId="13"/>
    <xf numFmtId="0" fontId="24" fillId="3" borderId="0" pivotButton="0" quotePrefix="0" xfId="13"/>
    <xf numFmtId="0" fontId="24" fillId="0" borderId="0" pivotButton="0" quotePrefix="0" xfId="13"/>
    <xf numFmtId="0" fontId="24" fillId="2" borderId="0" pivotButton="0" quotePrefix="0" xfId="13"/>
    <xf numFmtId="168" fontId="45" fillId="0" borderId="0" applyAlignment="1" pivotButton="0" quotePrefix="0" xfId="16">
      <alignment horizontal="right" vertical="top"/>
    </xf>
    <xf numFmtId="0" fontId="24" fillId="8" borderId="0" pivotButton="0" quotePrefix="0" xfId="13"/>
    <xf numFmtId="0" fontId="24" fillId="9" borderId="0" pivotButton="0" quotePrefix="0" xfId="13"/>
    <xf numFmtId="0" fontId="24" fillId="10" borderId="0" pivotButton="0" quotePrefix="0" xfId="13"/>
    <xf numFmtId="0" fontId="56" fillId="11" borderId="34" applyAlignment="1" pivotButton="0" quotePrefix="0" xfId="13">
      <alignment vertical="center" wrapText="1"/>
    </xf>
    <xf numFmtId="0" fontId="56" fillId="11" borderId="34" applyAlignment="1" pivotButton="0" quotePrefix="0" xfId="13">
      <alignment horizontal="center" vertical="center" wrapText="1"/>
    </xf>
    <xf numFmtId="0" fontId="56" fillId="11" borderId="0" applyAlignment="1" pivotButton="0" quotePrefix="0" xfId="13">
      <alignment vertical="center" wrapText="1"/>
    </xf>
    <xf numFmtId="0" fontId="56" fillId="11" borderId="0" applyAlignment="1" pivotButton="0" quotePrefix="0" xfId="13">
      <alignment horizontal="center" vertical="center" wrapText="1"/>
    </xf>
    <xf numFmtId="0" fontId="44" fillId="2" borderId="0" applyAlignment="1" pivotButton="0" quotePrefix="0" xfId="13">
      <alignment horizontal="left"/>
    </xf>
    <xf numFmtId="0" fontId="44" fillId="0" borderId="0" applyAlignment="1" pivotButton="0" quotePrefix="0" xfId="13">
      <alignment horizontal="left"/>
    </xf>
    <xf numFmtId="2" fontId="44" fillId="2" borderId="0" applyAlignment="1" pivotButton="0" quotePrefix="0" xfId="13">
      <alignment horizontal="right"/>
    </xf>
    <xf numFmtId="0" fontId="44" fillId="2" borderId="0" applyAlignment="1" pivotButton="0" quotePrefix="0" xfId="13">
      <alignment horizontal="center"/>
    </xf>
    <xf numFmtId="0" fontId="44" fillId="2" borderId="0" applyAlignment="1" pivotButton="0" quotePrefix="0" xfId="13">
      <alignment horizontal="right"/>
    </xf>
    <xf numFmtId="0" fontId="44" fillId="2" borderId="0" applyAlignment="1" pivotButton="0" quotePrefix="0" xfId="13">
      <alignment wrapText="1"/>
    </xf>
    <xf numFmtId="0" fontId="44" fillId="8" borderId="0" applyAlignment="1" pivotButton="0" quotePrefix="0" xfId="13">
      <alignment horizontal="left"/>
    </xf>
    <xf numFmtId="2" fontId="44" fillId="8" borderId="0" applyAlignment="1" pivotButton="0" quotePrefix="0" xfId="13">
      <alignment horizontal="right"/>
    </xf>
    <xf numFmtId="0" fontId="44" fillId="8" borderId="0" applyAlignment="1" pivotButton="0" quotePrefix="0" xfId="13">
      <alignment horizontal="center"/>
    </xf>
    <xf numFmtId="0" fontId="44" fillId="8" borderId="0" applyAlignment="1" pivotButton="0" quotePrefix="0" xfId="13">
      <alignment horizontal="right"/>
    </xf>
    <xf numFmtId="0" fontId="44" fillId="8" borderId="0" applyAlignment="1" pivotButton="0" quotePrefix="0" xfId="13">
      <alignment wrapText="1"/>
    </xf>
    <xf numFmtId="2" fontId="44" fillId="0" borderId="0" applyAlignment="1" pivotButton="0" quotePrefix="0" xfId="13">
      <alignment horizontal="right"/>
    </xf>
    <xf numFmtId="0" fontId="44" fillId="0" borderId="0" applyAlignment="1" pivotButton="0" quotePrefix="0" xfId="13">
      <alignment horizontal="center"/>
    </xf>
    <xf numFmtId="0" fontId="44" fillId="0" borderId="0" applyAlignment="1" pivotButton="0" quotePrefix="0" xfId="13">
      <alignment horizontal="right"/>
    </xf>
    <xf numFmtId="0" fontId="44" fillId="0" borderId="0" applyAlignment="1" pivotButton="0" quotePrefix="0" xfId="13">
      <alignment wrapText="1"/>
    </xf>
    <xf numFmtId="0" fontId="44" fillId="3" borderId="0" applyAlignment="1" pivotButton="0" quotePrefix="0" xfId="13">
      <alignment horizontal="left"/>
    </xf>
    <xf numFmtId="2" fontId="44" fillId="3" borderId="0" applyAlignment="1" pivotButton="0" quotePrefix="0" xfId="13">
      <alignment horizontal="right"/>
    </xf>
    <xf numFmtId="0" fontId="44" fillId="3" borderId="0" applyAlignment="1" pivotButton="0" quotePrefix="0" xfId="13">
      <alignment horizontal="center"/>
    </xf>
    <xf numFmtId="0" fontId="44" fillId="3" borderId="0" applyAlignment="1" pivotButton="0" quotePrefix="0" xfId="13">
      <alignment horizontal="right"/>
    </xf>
    <xf numFmtId="0" fontId="44" fillId="3" borderId="0" applyAlignment="1" pivotButton="0" quotePrefix="0" xfId="13">
      <alignment wrapText="1"/>
    </xf>
    <xf numFmtId="0" fontId="44" fillId="9" borderId="0" applyAlignment="1" pivotButton="0" quotePrefix="0" xfId="13">
      <alignment horizontal="left"/>
    </xf>
    <xf numFmtId="2" fontId="44" fillId="9" borderId="0" applyAlignment="1" pivotButton="0" quotePrefix="0" xfId="13">
      <alignment horizontal="right"/>
    </xf>
    <xf numFmtId="0" fontId="44" fillId="9" borderId="0" applyAlignment="1" pivotButton="0" quotePrefix="0" xfId="13">
      <alignment horizontal="center"/>
    </xf>
    <xf numFmtId="0" fontId="44" fillId="9" borderId="0" applyAlignment="1" pivotButton="0" quotePrefix="0" xfId="13">
      <alignment horizontal="right"/>
    </xf>
    <xf numFmtId="0" fontId="44" fillId="9" borderId="0" applyAlignment="1" pivotButton="0" quotePrefix="0" xfId="13">
      <alignment wrapText="1"/>
    </xf>
    <xf numFmtId="0" fontId="44" fillId="10" borderId="0" applyAlignment="1" pivotButton="0" quotePrefix="0" xfId="13">
      <alignment horizontal="left"/>
    </xf>
    <xf numFmtId="2" fontId="44" fillId="10" borderId="0" applyAlignment="1" pivotButton="0" quotePrefix="0" xfId="13">
      <alignment horizontal="right"/>
    </xf>
    <xf numFmtId="0" fontId="44" fillId="10" borderId="0" applyAlignment="1" pivotButton="0" quotePrefix="0" xfId="13">
      <alignment horizontal="center"/>
    </xf>
    <xf numFmtId="0" fontId="44" fillId="10" borderId="0" applyAlignment="1" pivotButton="0" quotePrefix="0" xfId="13">
      <alignment horizontal="right"/>
    </xf>
    <xf numFmtId="0" fontId="44" fillId="10" borderId="0" applyAlignment="1" pivotButton="0" quotePrefix="0" xfId="13">
      <alignment wrapText="1"/>
    </xf>
    <xf numFmtId="0" fontId="44" fillId="7" borderId="0" applyAlignment="1" pivotButton="0" quotePrefix="0" xfId="13">
      <alignment horizontal="left"/>
    </xf>
    <xf numFmtId="2" fontId="44" fillId="7" borderId="0" applyAlignment="1" pivotButton="0" quotePrefix="0" xfId="13">
      <alignment horizontal="right"/>
    </xf>
    <xf numFmtId="0" fontId="44" fillId="7" borderId="0" applyAlignment="1" pivotButton="0" quotePrefix="0" xfId="13">
      <alignment horizontal="center"/>
    </xf>
    <xf numFmtId="0" fontId="44" fillId="7" borderId="0" applyAlignment="1" pivotButton="0" quotePrefix="0" xfId="13">
      <alignment horizontal="right"/>
    </xf>
    <xf numFmtId="0" fontId="44" fillId="7" borderId="0" applyAlignment="1" pivotButton="0" quotePrefix="0" xfId="13">
      <alignment wrapText="1"/>
    </xf>
    <xf numFmtId="169" fontId="51" fillId="2" borderId="0" applyAlignment="1" pivotButton="0" quotePrefix="0" xfId="9">
      <alignment horizontal="right" vertical="top"/>
    </xf>
    <xf numFmtId="49" fontId="45" fillId="2" borderId="0" applyAlignment="1" pivotButton="0" quotePrefix="0" xfId="9">
      <alignment vertical="top"/>
    </xf>
    <xf numFmtId="49" fontId="52" fillId="2" borderId="0" applyAlignment="1" pivotButton="0" quotePrefix="0" xfId="9">
      <alignment vertical="top"/>
    </xf>
    <xf numFmtId="49" fontId="51" fillId="2" borderId="0" applyAlignment="1" pivotButton="0" quotePrefix="0" xfId="9">
      <alignment horizontal="right" vertical="top"/>
    </xf>
    <xf numFmtId="168" fontId="45" fillId="2" borderId="0" applyAlignment="1" pivotButton="0" quotePrefix="0" xfId="16">
      <alignment horizontal="right" vertical="top"/>
    </xf>
    <xf numFmtId="0" fontId="24" fillId="2" borderId="0" pivotButton="0" quotePrefix="0" xfId="9"/>
    <xf numFmtId="49" fontId="45" fillId="7" borderId="0" applyAlignment="1" pivotButton="0" quotePrefix="0" xfId="9">
      <alignment vertical="top"/>
    </xf>
    <xf numFmtId="43" fontId="38" fillId="0" borderId="0" pivotButton="0" quotePrefix="0" xfId="1"/>
    <xf numFmtId="0" fontId="23" fillId="0" borderId="0" pivotButton="0" quotePrefix="0" xfId="0"/>
    <xf numFmtId="43" fontId="30" fillId="0" borderId="8" applyAlignment="1" pivotButton="0" quotePrefix="0" xfId="1">
      <alignment horizontal="center"/>
    </xf>
    <xf numFmtId="164" fontId="59" fillId="0" borderId="9" pivotButton="0" quotePrefix="0" xfId="1"/>
    <xf numFmtId="0" fontId="33" fillId="0" borderId="10" applyAlignment="1" pivotButton="0" quotePrefix="0" xfId="0">
      <alignment horizontal="centerContinuous"/>
    </xf>
    <xf numFmtId="0" fontId="33" fillId="0" borderId="11" applyAlignment="1" pivotButton="0" quotePrefix="0" xfId="0">
      <alignment horizontal="centerContinuous"/>
    </xf>
    <xf numFmtId="0" fontId="33" fillId="0" borderId="5" applyAlignment="1" pivotButton="0" quotePrefix="0" xfId="0">
      <alignment horizontal="centerContinuous"/>
    </xf>
    <xf numFmtId="164" fontId="34" fillId="0" borderId="1" applyAlignment="1" pivotButton="0" quotePrefix="0" xfId="1">
      <alignment horizontal="centerContinuous"/>
    </xf>
    <xf numFmtId="164" fontId="34" fillId="0" borderId="2" applyAlignment="1" pivotButton="0" quotePrefix="0" xfId="1">
      <alignment horizontal="centerContinuous"/>
    </xf>
    <xf numFmtId="164" fontId="34" fillId="0" borderId="3" applyAlignment="1" pivotButton="0" quotePrefix="0" xfId="1">
      <alignment horizontal="centerContinuous"/>
    </xf>
    <xf numFmtId="0" fontId="29" fillId="0" borderId="21" pivotButton="0" quotePrefix="0" xfId="0"/>
    <xf numFmtId="164" fontId="60" fillId="0" borderId="9" pivotButton="0" quotePrefix="0" xfId="1"/>
    <xf numFmtId="164" fontId="60" fillId="0" borderId="13" pivotButton="0" quotePrefix="0" xfId="1"/>
    <xf numFmtId="164" fontId="61" fillId="0" borderId="9" pivotButton="0" quotePrefix="0" xfId="1"/>
    <xf numFmtId="164" fontId="61" fillId="0" borderId="13" pivotButton="0" quotePrefix="0" xfId="1"/>
    <xf numFmtId="164" fontId="60" fillId="0" borderId="6" pivotButton="0" quotePrefix="0" xfId="1"/>
    <xf numFmtId="164" fontId="31" fillId="0" borderId="12" applyAlignment="1" pivotButton="0" quotePrefix="0" xfId="1">
      <alignment horizontal="left" vertical="top" wrapText="1"/>
    </xf>
    <xf numFmtId="0" fontId="18" fillId="0" borderId="0" pivotButton="0" quotePrefix="0" xfId="0"/>
    <xf numFmtId="43" fontId="61" fillId="0" borderId="0" pivotButton="0" quotePrefix="0" xfId="0"/>
    <xf numFmtId="43" fontId="30" fillId="0" borderId="15" applyAlignment="1" pivotButton="0" quotePrefix="0" xfId="1">
      <alignment horizontal="center"/>
    </xf>
    <xf numFmtId="43" fontId="30" fillId="0" borderId="0" applyAlignment="1" pivotButton="0" quotePrefix="0" xfId="1">
      <alignment horizontal="center"/>
    </xf>
    <xf numFmtId="0" fontId="61" fillId="0" borderId="0" pivotButton="0" quotePrefix="0" xfId="0"/>
    <xf numFmtId="0" fontId="41" fillId="0" borderId="21" pivotButton="0" quotePrefix="0" xfId="0"/>
    <xf numFmtId="0" fontId="29" fillId="0" borderId="21" applyAlignment="1" pivotButton="0" quotePrefix="0" xfId="0">
      <alignment horizontal="center" wrapText="1"/>
    </xf>
    <xf numFmtId="164" fontId="35" fillId="0" borderId="12" applyAlignment="1" pivotButton="0" quotePrefix="0" xfId="1">
      <alignment horizontal="left" indent="1"/>
    </xf>
    <xf numFmtId="0" fontId="29" fillId="0" borderId="44" applyAlignment="1" pivotButton="0" quotePrefix="0" xfId="0">
      <alignment horizontal="center"/>
    </xf>
    <xf numFmtId="0" fontId="29" fillId="0" borderId="44" pivotButton="0" quotePrefix="0" xfId="0"/>
    <xf numFmtId="164" fontId="29" fillId="0" borderId="44" pivotButton="0" quotePrefix="0" xfId="1"/>
    <xf numFmtId="167" fontId="31" fillId="0" borderId="34" pivotButton="0" quotePrefix="0" xfId="0"/>
    <xf numFmtId="0" fontId="63" fillId="0" borderId="0" pivotButton="0" quotePrefix="0" xfId="0"/>
    <xf numFmtId="0" fontId="63" fillId="0" borderId="4" applyAlignment="1" pivotButton="0" quotePrefix="0" xfId="0">
      <alignment horizontal="center" vertical="center"/>
    </xf>
    <xf numFmtId="14" fontId="32" fillId="0" borderId="9" pivotButton="0" quotePrefix="0" xfId="0"/>
    <xf numFmtId="0" fontId="32" fillId="0" borderId="44" pivotButton="0" quotePrefix="0" xfId="0"/>
    <xf numFmtId="0" fontId="63" fillId="0" borderId="34" pivotButton="0" quotePrefix="0" xfId="0"/>
    <xf numFmtId="0" fontId="63" fillId="0" borderId="6" pivotButton="0" quotePrefix="0" xfId="0"/>
    <xf numFmtId="0" fontId="41" fillId="0" borderId="1" applyAlignment="1" pivotButton="0" quotePrefix="0" xfId="0">
      <alignment horizontal="center"/>
    </xf>
    <xf numFmtId="15" fontId="51" fillId="0" borderId="0" applyAlignment="1" pivotButton="0" quotePrefix="0" xfId="0">
      <alignment horizontal="right" vertical="top"/>
    </xf>
    <xf numFmtId="0" fontId="29" fillId="0" borderId="9" applyAlignment="1" pivotButton="0" quotePrefix="0" xfId="0">
      <alignment wrapText="1"/>
    </xf>
    <xf numFmtId="0" fontId="46" fillId="0" borderId="9" pivotButton="0" quotePrefix="0" xfId="0"/>
    <xf numFmtId="14" fontId="51" fillId="0" borderId="9" pivotButton="0" quotePrefix="0" xfId="0"/>
    <xf numFmtId="0" fontId="51" fillId="0" borderId="9" pivotButton="0" quotePrefix="0" xfId="0"/>
    <xf numFmtId="164" fontId="64" fillId="0" borderId="9" pivotButton="0" quotePrefix="0" xfId="1"/>
    <xf numFmtId="164" fontId="65" fillId="0" borderId="12" applyAlignment="1" pivotButton="0" quotePrefix="0" xfId="1">
      <alignment horizontal="left"/>
    </xf>
    <xf numFmtId="0" fontId="16" fillId="0" borderId="0" pivotButton="0" quotePrefix="0" xfId="0"/>
    <xf numFmtId="0" fontId="16" fillId="0" borderId="0" pivotButton="0" quotePrefix="0" xfId="24"/>
    <xf numFmtId="0" fontId="31" fillId="0" borderId="0" pivotButton="0" quotePrefix="0" xfId="24"/>
    <xf numFmtId="49" fontId="51" fillId="0" borderId="0" applyAlignment="1" pivotButton="0" quotePrefix="0" xfId="24">
      <alignment vertical="top"/>
    </xf>
    <xf numFmtId="2" fontId="16" fillId="0" borderId="0" pivotButton="0" quotePrefix="0" xfId="24"/>
    <xf numFmtId="49" fontId="45" fillId="0" borderId="0" applyAlignment="1" pivotButton="0" quotePrefix="0" xfId="0">
      <alignment vertical="top"/>
    </xf>
    <xf numFmtId="167" fontId="45" fillId="0" borderId="0" applyAlignment="1" pivotButton="0" quotePrefix="0" xfId="0">
      <alignment horizontal="right" vertical="top"/>
    </xf>
    <xf numFmtId="49" fontId="52" fillId="0" borderId="0" applyAlignment="1" pivotButton="0" quotePrefix="0" xfId="0">
      <alignment vertical="top"/>
    </xf>
    <xf numFmtId="168" fontId="52" fillId="0" borderId="0" applyAlignment="1" pivotButton="0" quotePrefix="0" xfId="0">
      <alignment horizontal="right" vertical="top"/>
    </xf>
    <xf numFmtId="0" fontId="31" fillId="3" borderId="0" pivotButton="0" quotePrefix="0" xfId="0"/>
    <xf numFmtId="164" fontId="38" fillId="0" borderId="9" applyAlignment="1" pivotButton="0" quotePrefix="0" xfId="1">
      <alignment horizontal="center" vertical="center"/>
    </xf>
    <xf numFmtId="49" fontId="51" fillId="0" borderId="0" applyAlignment="1" pivotButton="0" quotePrefix="0" xfId="0">
      <alignment horizontal="right" vertical="top"/>
    </xf>
    <xf numFmtId="164" fontId="68" fillId="0" borderId="9" pivotButton="0" quotePrefix="0" xfId="1"/>
    <xf numFmtId="0" fontId="0" fillId="17" borderId="4" applyAlignment="1" pivotButton="0" quotePrefix="0" xfId="0">
      <alignment horizontal="center"/>
    </xf>
    <xf numFmtId="0" fontId="0" fillId="17" borderId="8" applyAlignment="1" pivotButton="0" quotePrefix="0" xfId="0">
      <alignment horizontal="center"/>
    </xf>
    <xf numFmtId="0" fontId="29" fillId="19" borderId="9" applyAlignment="1" pivotButton="0" quotePrefix="0" xfId="0">
      <alignment horizontal="center"/>
    </xf>
    <xf numFmtId="14" fontId="32" fillId="19" borderId="9" pivotButton="0" quotePrefix="0" xfId="0"/>
    <xf numFmtId="0" fontId="32" fillId="19" borderId="9" pivotButton="0" quotePrefix="0" xfId="0"/>
    <xf numFmtId="164" fontId="29" fillId="19" borderId="9" pivotButton="0" quotePrefix="0" xfId="1"/>
    <xf numFmtId="0" fontId="0" fillId="19" borderId="0" pivotButton="0" quotePrefix="0" xfId="0"/>
    <xf numFmtId="0" fontId="29" fillId="19" borderId="9" pivotButton="0" quotePrefix="0" xfId="0"/>
    <xf numFmtId="14" fontId="51" fillId="19" borderId="9" pivotButton="0" quotePrefix="0" xfId="0"/>
    <xf numFmtId="0" fontId="46" fillId="19" borderId="9" pivotButton="0" quotePrefix="0" xfId="0"/>
    <xf numFmtId="164" fontId="40" fillId="0" borderId="0" applyAlignment="1" pivotButton="0" quotePrefix="0" xfId="1">
      <alignment horizontal="left"/>
    </xf>
    <xf numFmtId="0" fontId="40" fillId="0" borderId="4" applyAlignment="1" pivotButton="0" quotePrefix="0" xfId="0">
      <alignment horizontal="center" vertical="center" wrapText="1"/>
    </xf>
    <xf numFmtId="0" fontId="40" fillId="0" borderId="6" applyAlignment="1" pivotButton="0" quotePrefix="0" xfId="0">
      <alignment horizontal="center" vertical="center" wrapText="1"/>
    </xf>
    <xf numFmtId="0" fontId="41" fillId="0" borderId="3" applyAlignment="1" pivotButton="0" quotePrefix="0" xfId="0">
      <alignment horizontal="center"/>
    </xf>
    <xf numFmtId="170" fontId="61" fillId="0" borderId="0" pivotButton="0" quotePrefix="0" xfId="0"/>
    <xf numFmtId="164" fontId="67" fillId="0" borderId="0" applyAlignment="1" pivotButton="0" quotePrefix="0" xfId="1">
      <alignment horizontal="left"/>
    </xf>
    <xf numFmtId="164" fontId="30" fillId="0" borderId="0" pivotButton="0" quotePrefix="0" xfId="0"/>
    <xf numFmtId="170" fontId="23" fillId="0" borderId="0" pivotButton="0" quotePrefix="0" xfId="0"/>
    <xf numFmtId="164" fontId="59" fillId="0" borderId="12" pivotButton="0" quotePrefix="0" xfId="1"/>
    <xf numFmtId="164" fontId="68" fillId="0" borderId="12" pivotButton="0" quotePrefix="0" xfId="1"/>
    <xf numFmtId="0" fontId="33" fillId="0" borderId="0" applyAlignment="1" pivotButton="0" quotePrefix="0" xfId="0">
      <alignment horizontal="center" vertical="center"/>
    </xf>
    <xf numFmtId="0" fontId="38" fillId="0" borderId="0" pivotButton="0" quotePrefix="0" xfId="0"/>
    <xf numFmtId="43" fontId="57" fillId="0" borderId="0" pivotButton="0" quotePrefix="0" xfId="0"/>
    <xf numFmtId="0" fontId="40" fillId="0" borderId="0" applyAlignment="1" pivotButton="0" quotePrefix="0" xfId="0">
      <alignment horizontal="center" vertical="center" wrapText="1"/>
    </xf>
    <xf numFmtId="0" fontId="30" fillId="0" borderId="0" pivotButton="0" quotePrefix="0" xfId="0"/>
    <xf numFmtId="0" fontId="41" fillId="0" borderId="8" pivotButton="0" quotePrefix="0" xfId="0"/>
    <xf numFmtId="16" fontId="31" fillId="0" borderId="0" pivotButton="0" quotePrefix="0" xfId="0"/>
    <xf numFmtId="0" fontId="43" fillId="0" borderId="0" applyAlignment="1" pivotButton="0" quotePrefix="0" xfId="0">
      <alignment horizontal="left"/>
    </xf>
    <xf numFmtId="164" fontId="58" fillId="0" borderId="0" applyAlignment="1" pivotButton="0" quotePrefix="0" xfId="0">
      <alignment horizontal="left"/>
    </xf>
    <xf numFmtId="14" fontId="31" fillId="0" borderId="0" pivotButton="0" quotePrefix="0" xfId="0"/>
    <xf numFmtId="0" fontId="62" fillId="0" borderId="0" pivotButton="0" quotePrefix="0" xfId="0"/>
    <xf numFmtId="0" fontId="0" fillId="0" borderId="0" applyAlignment="1" pivotButton="0" quotePrefix="0" xfId="0">
      <alignment horizontal="centerContinuous"/>
    </xf>
    <xf numFmtId="0" fontId="41" fillId="0" borderId="6" pivotButton="0" quotePrefix="0" xfId="0"/>
    <xf numFmtId="164" fontId="38" fillId="0" borderId="0" pivotButton="0" quotePrefix="0" xfId="0"/>
    <xf numFmtId="170" fontId="0" fillId="0" borderId="0" pivotButton="0" quotePrefix="0" xfId="0"/>
    <xf numFmtId="0" fontId="40" fillId="0" borderId="8" applyAlignment="1" pivotButton="0" quotePrefix="0" xfId="0">
      <alignment horizontal="center" vertical="center"/>
    </xf>
    <xf numFmtId="0" fontId="40" fillId="0" borderId="8" applyAlignment="1" pivotButton="0" quotePrefix="0" xfId="0">
      <alignment horizontal="center" vertical="center" wrapText="1"/>
    </xf>
    <xf numFmtId="167" fontId="45" fillId="0" borderId="0" applyAlignment="1" pivotButton="0" quotePrefix="0" xfId="49">
      <alignment horizontal="right" vertical="top"/>
    </xf>
    <xf numFmtId="0" fontId="41" fillId="0" borderId="7" applyAlignment="1" pivotButton="0" quotePrefix="0" xfId="0">
      <alignment horizontal="center"/>
    </xf>
    <xf numFmtId="0" fontId="41" fillId="0" borderId="15" applyAlignment="1" pivotButton="0" quotePrefix="0" xfId="0">
      <alignment horizontal="center"/>
    </xf>
    <xf numFmtId="0" fontId="70" fillId="0" borderId="0" applyAlignment="1" pivotButton="0" quotePrefix="0" xfId="0">
      <alignment horizontal="right" vertical="center" wrapText="1"/>
    </xf>
    <xf numFmtId="164" fontId="11" fillId="0" borderId="0" pivotButton="0" quotePrefix="0" xfId="0"/>
    <xf numFmtId="171" fontId="57" fillId="0" borderId="0" pivotButton="0" quotePrefix="0" xfId="0"/>
    <xf numFmtId="170" fontId="57" fillId="0" borderId="0" pivotButton="0" quotePrefix="0" xfId="0"/>
    <xf numFmtId="0" fontId="15" fillId="0" borderId="0" pivotButton="0" quotePrefix="0" xfId="0"/>
    <xf numFmtId="43" fontId="71" fillId="0" borderId="9" pivotButton="0" quotePrefix="0" xfId="1"/>
    <xf numFmtId="0" fontId="71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164" fontId="30" fillId="0" borderId="2" applyAlignment="1" pivotButton="0" quotePrefix="0" xfId="1">
      <alignment horizontal="center"/>
    </xf>
    <xf numFmtId="164" fontId="30" fillId="0" borderId="3" applyAlignment="1" pivotButton="0" quotePrefix="0" xfId="1">
      <alignment horizontal="center"/>
    </xf>
    <xf numFmtId="164" fontId="39" fillId="0" borderId="15" applyAlignment="1" pivotButton="0" quotePrefix="0" xfId="1">
      <alignment horizontal="left"/>
    </xf>
    <xf numFmtId="0" fontId="40" fillId="0" borderId="4" applyAlignment="1" pivotButton="0" quotePrefix="0" xfId="0">
      <alignment horizontal="center" vertical="center"/>
    </xf>
    <xf numFmtId="0" fontId="40" fillId="0" borderId="6" applyAlignment="1" pivotButton="0" quotePrefix="0" xfId="0">
      <alignment horizontal="center" vertical="center"/>
    </xf>
    <xf numFmtId="0" fontId="33" fillId="0" borderId="10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33" fillId="0" borderId="5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0" fontId="33" fillId="0" borderId="13" applyAlignment="1" pivotButton="0" quotePrefix="0" xfId="0">
      <alignment horizontal="center" vertical="center"/>
    </xf>
    <xf numFmtId="0" fontId="33" fillId="0" borderId="14" applyAlignment="1" pivotButton="0" quotePrefix="0" xfId="0">
      <alignment horizontal="center" vertical="center"/>
    </xf>
    <xf numFmtId="0" fontId="33" fillId="0" borderId="15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164" fontId="66" fillId="0" borderId="0" pivotButton="0" quotePrefix="0" xfId="0"/>
    <xf numFmtId="164" fontId="30" fillId="0" borderId="1" applyAlignment="1" pivotButton="0" quotePrefix="0" xfId="1">
      <alignment horizontal="center"/>
    </xf>
    <xf numFmtId="14" fontId="41" fillId="0" borderId="0" pivotButton="0" quotePrefix="0" xfId="0"/>
    <xf numFmtId="0" fontId="41" fillId="0" borderId="0" pivotButton="0" quotePrefix="0" xfId="0"/>
    <xf numFmtId="0" fontId="29" fillId="0" borderId="34" pivotButton="0" quotePrefix="0" xfId="0"/>
    <xf numFmtId="49" fontId="41" fillId="0" borderId="34" applyAlignment="1" pivotButton="0" quotePrefix="0" xfId="0">
      <alignment vertical="top"/>
    </xf>
    <xf numFmtId="49" fontId="29" fillId="0" borderId="34" pivotButton="0" quotePrefix="0" xfId="1"/>
    <xf numFmtId="164" fontId="29" fillId="0" borderId="34" pivotButton="0" quotePrefix="0" xfId="1"/>
    <xf numFmtId="43" fontId="29" fillId="0" borderId="35" pivotButton="0" quotePrefix="0" xfId="1"/>
    <xf numFmtId="164" fontId="29" fillId="0" borderId="0" pivotButton="0" quotePrefix="0" xfId="1"/>
    <xf numFmtId="43" fontId="29" fillId="0" borderId="34" pivotButton="0" quotePrefix="0" xfId="1"/>
    <xf numFmtId="49" fontId="29" fillId="0" borderId="34" applyAlignment="1" pivotButton="0" quotePrefix="0" xfId="0">
      <alignment horizontal="left" vertical="top" indent="2"/>
    </xf>
    <xf numFmtId="164" fontId="29" fillId="0" borderId="22" pivotButton="0" quotePrefix="0" xfId="1"/>
    <xf numFmtId="164" fontId="29" fillId="0" borderId="43" pivotButton="0" quotePrefix="0" xfId="1"/>
    <xf numFmtId="43" fontId="29" fillId="0" borderId="0" pivotButton="0" quotePrefix="0" xfId="1"/>
    <xf numFmtId="43" fontId="29" fillId="0" borderId="0" pivotButton="0" quotePrefix="0" xfId="0"/>
    <xf numFmtId="164" fontId="41" fillId="0" borderId="6" pivotButton="0" quotePrefix="0" xfId="1"/>
    <xf numFmtId="49" fontId="41" fillId="0" borderId="0" applyAlignment="1" pivotButton="0" quotePrefix="0" xfId="0">
      <alignment vertical="top"/>
    </xf>
    <xf numFmtId="49" fontId="72" fillId="0" borderId="0" applyAlignment="1" pivotButton="0" quotePrefix="0" xfId="0">
      <alignment horizontal="left" vertical="top" indent="2"/>
    </xf>
    <xf numFmtId="164" fontId="29" fillId="0" borderId="9" pivotButton="0" quotePrefix="0" xfId="1"/>
    <xf numFmtId="43" fontId="29" fillId="0" borderId="9" pivotButton="0" quotePrefix="0" xfId="1"/>
    <xf numFmtId="170" fontId="29" fillId="0" borderId="0" pivotButton="0" quotePrefix="0" xfId="0"/>
    <xf numFmtId="164" fontId="29" fillId="0" borderId="13" pivotButton="0" quotePrefix="0" xfId="1"/>
    <xf numFmtId="164" fontId="29" fillId="0" borderId="6" pivotButton="0" quotePrefix="0" xfId="1"/>
    <xf numFmtId="49" fontId="29" fillId="0" borderId="9" pivotButton="0" quotePrefix="0" xfId="1"/>
    <xf numFmtId="167" fontId="29" fillId="0" borderId="9" pivotButton="0" quotePrefix="0" xfId="1"/>
    <xf numFmtId="168" fontId="29" fillId="0" borderId="9" pivotButton="0" quotePrefix="0" xfId="1"/>
    <xf numFmtId="164" fontId="73" fillId="0" borderId="9" pivotButton="0" quotePrefix="0" xfId="1"/>
    <xf numFmtId="164" fontId="53" fillId="0" borderId="12" applyAlignment="1" pivotButton="0" quotePrefix="0" xfId="1">
      <alignment horizontal="left"/>
    </xf>
    <xf numFmtId="164" fontId="74" fillId="0" borderId="12" applyAlignment="1" pivotButton="0" quotePrefix="0" xfId="1">
      <alignment horizontal="left"/>
    </xf>
    <xf numFmtId="49" fontId="60" fillId="0" borderId="9" pivotButton="0" quotePrefix="0" xfId="1"/>
    <xf numFmtId="167" fontId="68" fillId="0" borderId="9" pivotButton="0" quotePrefix="0" xfId="1"/>
    <xf numFmtId="49" fontId="73" fillId="0" borderId="9" pivotButton="0" quotePrefix="0" xfId="1"/>
    <xf numFmtId="49" fontId="68" fillId="0" borderId="9" pivotButton="0" quotePrefix="0" xfId="1"/>
    <xf numFmtId="164" fontId="73" fillId="0" borderId="13" pivotButton="0" quotePrefix="0" xfId="1"/>
    <xf numFmtId="167" fontId="73" fillId="0" borderId="9" pivotButton="0" quotePrefix="0" xfId="1"/>
    <xf numFmtId="164" fontId="29" fillId="0" borderId="9" applyAlignment="1" pivotButton="0" quotePrefix="0" xfId="1">
      <alignment horizontal="center" vertical="center"/>
    </xf>
    <xf numFmtId="167" fontId="41" fillId="0" borderId="34" applyAlignment="1" pivotButton="0" quotePrefix="0" xfId="49">
      <alignment horizontal="right" vertical="top"/>
    </xf>
    <xf numFmtId="167" fontId="41" fillId="0" borderId="0" applyAlignment="1" pivotButton="0" quotePrefix="0" xfId="49">
      <alignment horizontal="right" vertical="top"/>
    </xf>
    <xf numFmtId="164" fontId="29" fillId="0" borderId="14" pivotButton="0" quotePrefix="0" xfId="1"/>
    <xf numFmtId="43" fontId="29" fillId="0" borderId="7" pivotButton="0" quotePrefix="0" xfId="1"/>
    <xf numFmtId="43" fontId="29" fillId="0" borderId="13" pivotButton="0" quotePrefix="0" xfId="1"/>
    <xf numFmtId="49" fontId="41" fillId="0" borderId="0" pivotButton="0" quotePrefix="0" xfId="0"/>
    <xf numFmtId="0" fontId="74" fillId="0" borderId="9" applyAlignment="1" pivotButton="0" quotePrefix="0" xfId="0">
      <alignment horizontal="center" vertical="center" wrapText="1"/>
    </xf>
    <xf numFmtId="49" fontId="29" fillId="0" borderId="9" applyAlignment="1" pivotButton="0" quotePrefix="0" xfId="1">
      <alignment horizontal="center" vertical="center"/>
    </xf>
    <xf numFmtId="49" fontId="29" fillId="0" borderId="9" pivotButton="0" quotePrefix="0" xfId="0"/>
    <xf numFmtId="164" fontId="75" fillId="0" borderId="31" applyAlignment="1" pivotButton="0" quotePrefix="0" xfId="1">
      <alignment horizontal="center" vertical="center" wrapText="1"/>
    </xf>
    <xf numFmtId="164" fontId="75" fillId="0" borderId="32" applyAlignment="1" pivotButton="0" quotePrefix="0" xfId="1">
      <alignment horizontal="center" vertical="center" wrapText="1"/>
    </xf>
    <xf numFmtId="164" fontId="75" fillId="0" borderId="33" applyAlignment="1" pivotButton="0" quotePrefix="0" xfId="1">
      <alignment horizontal="center" vertical="center" wrapText="1"/>
    </xf>
    <xf numFmtId="164" fontId="75" fillId="0" borderId="21" applyAlignment="1" pivotButton="0" quotePrefix="0" xfId="1">
      <alignment horizontal="center" vertical="center" wrapText="1"/>
    </xf>
    <xf numFmtId="164" fontId="75" fillId="0" borderId="20" applyAlignment="1" pivotButton="0" quotePrefix="0" xfId="1">
      <alignment horizontal="center" vertical="center" wrapText="1"/>
    </xf>
    <xf numFmtId="164" fontId="75" fillId="0" borderId="13" applyAlignment="1" pivotButton="0" quotePrefix="0" xfId="1">
      <alignment horizontal="center" vertical="center" wrapText="1"/>
    </xf>
    <xf numFmtId="164" fontId="75" fillId="0" borderId="12" applyAlignment="1" pivotButton="0" quotePrefix="0" xfId="1">
      <alignment horizontal="left"/>
    </xf>
    <xf numFmtId="164" fontId="77" fillId="0" borderId="21" applyAlignment="1" pivotButton="0" quotePrefix="0" xfId="1">
      <alignment horizontal="center"/>
    </xf>
    <xf numFmtId="10" fontId="29" fillId="0" borderId="20" applyAlignment="1" pivotButton="0" quotePrefix="0" xfId="2">
      <alignment horizontal="center"/>
    </xf>
    <xf numFmtId="164" fontId="29" fillId="0" borderId="20" pivotButton="0" quotePrefix="0" xfId="1"/>
    <xf numFmtId="164" fontId="29" fillId="0" borderId="0" pivotButton="0" quotePrefix="0" xfId="0"/>
    <xf numFmtId="170" fontId="29" fillId="0" borderId="0" pivotButton="0" quotePrefix="0" xfId="1"/>
    <xf numFmtId="164" fontId="41" fillId="0" borderId="0" pivotButton="0" quotePrefix="0" xfId="0"/>
    <xf numFmtId="164" fontId="29" fillId="0" borderId="21" pivotButton="0" quotePrefix="0" xfId="1"/>
    <xf numFmtId="0" fontId="29" fillId="0" borderId="0" applyAlignment="1" pivotButton="0" quotePrefix="0" xfId="0">
      <alignment wrapText="1"/>
    </xf>
    <xf numFmtId="0" fontId="29" fillId="0" borderId="12" applyAlignment="1" pivotButton="0" quotePrefix="0" xfId="0">
      <alignment wrapText="1"/>
    </xf>
    <xf numFmtId="164" fontId="75" fillId="0" borderId="0" applyAlignment="1" pivotButton="0" quotePrefix="0" xfId="1">
      <alignment horizontal="center"/>
    </xf>
    <xf numFmtId="164" fontId="75" fillId="0" borderId="0" pivotButton="0" quotePrefix="0" xfId="1"/>
    <xf numFmtId="0" fontId="78" fillId="7" borderId="34" pivotButton="0" quotePrefix="0" xfId="0"/>
    <xf numFmtId="43" fontId="78" fillId="7" borderId="34" pivotButton="0" quotePrefix="0" xfId="1"/>
    <xf numFmtId="0" fontId="29" fillId="7" borderId="34" pivotButton="0" quotePrefix="0" xfId="0"/>
    <xf numFmtId="164" fontId="29" fillId="7" borderId="34" pivotButton="0" quotePrefix="0" xfId="0"/>
    <xf numFmtId="0" fontId="78" fillId="0" borderId="0" pivotButton="0" quotePrefix="0" xfId="0"/>
    <xf numFmtId="43" fontId="78" fillId="0" borderId="0" pivotButton="0" quotePrefix="0" xfId="1"/>
    <xf numFmtId="164" fontId="75" fillId="0" borderId="45" applyAlignment="1" pivotButton="0" quotePrefix="0" xfId="1">
      <alignment horizontal="center" vertical="center" wrapText="1"/>
    </xf>
    <xf numFmtId="0" fontId="41" fillId="0" borderId="34" pivotButton="0" quotePrefix="0" xfId="0"/>
    <xf numFmtId="43" fontId="41" fillId="0" borderId="34" pivotButton="0" quotePrefix="0" xfId="1"/>
    <xf numFmtId="10" fontId="29" fillId="0" borderId="34" applyAlignment="1" pivotButton="0" quotePrefix="0" xfId="2">
      <alignment horizontal="center"/>
    </xf>
    <xf numFmtId="164" fontId="29" fillId="0" borderId="34" pivotButton="0" quotePrefix="0" xfId="0"/>
    <xf numFmtId="164" fontId="75" fillId="20" borderId="31" applyAlignment="1" pivotButton="0" quotePrefix="0" xfId="1">
      <alignment horizontal="center"/>
    </xf>
    <xf numFmtId="43" fontId="41" fillId="20" borderId="34" pivotButton="0" quotePrefix="0" xfId="1"/>
    <xf numFmtId="0" fontId="41" fillId="20" borderId="34" pivotButton="0" quotePrefix="0" xfId="0"/>
    <xf numFmtId="164" fontId="41" fillId="20" borderId="34" pivotButton="0" quotePrefix="0" xfId="0"/>
    <xf numFmtId="164" fontId="75" fillId="0" borderId="0" pivotButton="0" quotePrefix="0" xfId="1"/>
    <xf numFmtId="0" fontId="29" fillId="4" borderId="0" pivotButton="0" quotePrefix="0" xfId="0"/>
    <xf numFmtId="164" fontId="29" fillId="0" borderId="0" pivotButton="0" quotePrefix="0" xfId="1"/>
    <xf numFmtId="164" fontId="41" fillId="0" borderId="12" applyAlignment="1" pivotButton="0" quotePrefix="0" xfId="1">
      <alignment horizontal="left" vertical="top"/>
    </xf>
    <xf numFmtId="10" fontId="29" fillId="0" borderId="21" applyAlignment="1" pivotButton="0" quotePrefix="0" xfId="2">
      <alignment horizontal="center"/>
    </xf>
    <xf numFmtId="164" fontId="41" fillId="0" borderId="8" applyAlignment="1" pivotButton="0" quotePrefix="0" xfId="1">
      <alignment horizontal="left" vertical="top"/>
    </xf>
    <xf numFmtId="164" fontId="77" fillId="0" borderId="20" applyAlignment="1" pivotButton="0" quotePrefix="0" xfId="1">
      <alignment horizontal="center"/>
    </xf>
    <xf numFmtId="164" fontId="41" fillId="0" borderId="25" applyAlignment="1" pivotButton="0" quotePrefix="0" xfId="1">
      <alignment horizontal="left" vertical="top"/>
    </xf>
    <xf numFmtId="164" fontId="75" fillId="0" borderId="23" applyAlignment="1" pivotButton="0" quotePrefix="0" xfId="1">
      <alignment horizontal="left"/>
    </xf>
    <xf numFmtId="164" fontId="75" fillId="0" borderId="24" pivotButton="0" quotePrefix="0" xfId="1"/>
    <xf numFmtId="164" fontId="75" fillId="0" borderId="0" applyAlignment="1" pivotButton="0" quotePrefix="0" xfId="1">
      <alignment horizontal="left"/>
    </xf>
    <xf numFmtId="164" fontId="75" fillId="0" borderId="12" applyAlignment="1" pivotButton="0" quotePrefix="0" xfId="1">
      <alignment horizontal="center"/>
    </xf>
    <xf numFmtId="164" fontId="75" fillId="0" borderId="4" applyAlignment="1" pivotButton="0" quotePrefix="0" xfId="1">
      <alignment horizontal="center"/>
    </xf>
    <xf numFmtId="164" fontId="75" fillId="0" borderId="5" applyAlignment="1" pivotButton="0" quotePrefix="0" xfId="1">
      <alignment horizontal="center"/>
    </xf>
    <xf numFmtId="164" fontId="75" fillId="0" borderId="26" applyAlignment="1" pivotButton="0" quotePrefix="0" xfId="1">
      <alignment horizontal="center"/>
    </xf>
    <xf numFmtId="164" fontId="77" fillId="0" borderId="12" applyAlignment="1" pivotButton="0" quotePrefix="0" xfId="1">
      <alignment horizontal="left"/>
    </xf>
    <xf numFmtId="164" fontId="77" fillId="0" borderId="9" applyAlignment="1" pivotButton="0" quotePrefix="0" xfId="1">
      <alignment horizontal="center"/>
    </xf>
    <xf numFmtId="164" fontId="77" fillId="0" borderId="26" applyAlignment="1" pivotButton="0" quotePrefix="0" xfId="1">
      <alignment horizontal="center"/>
    </xf>
    <xf numFmtId="164" fontId="77" fillId="0" borderId="0" applyAlignment="1" pivotButton="0" quotePrefix="0" xfId="1">
      <alignment horizontal="left" vertical="top"/>
    </xf>
    <xf numFmtId="164" fontId="77" fillId="0" borderId="13" applyAlignment="1" pivotButton="0" quotePrefix="0" xfId="1">
      <alignment horizontal="center"/>
    </xf>
    <xf numFmtId="164" fontId="77" fillId="0" borderId="0" applyAlignment="1" pivotButton="0" quotePrefix="0" xfId="1">
      <alignment horizontal="center"/>
    </xf>
    <xf numFmtId="164" fontId="77" fillId="0" borderId="27" applyAlignment="1" pivotButton="0" quotePrefix="0" xfId="1">
      <alignment horizontal="left"/>
    </xf>
    <xf numFmtId="164" fontId="77" fillId="0" borderId="28" applyAlignment="1" pivotButton="0" quotePrefix="0" xfId="1">
      <alignment horizontal="center"/>
    </xf>
    <xf numFmtId="164" fontId="77" fillId="0" borderId="30" applyAlignment="1" pivotButton="0" quotePrefix="0" xfId="1">
      <alignment horizontal="center"/>
    </xf>
    <xf numFmtId="164" fontId="41" fillId="0" borderId="0" pivotButton="0" quotePrefix="0" xfId="1"/>
    <xf numFmtId="43" fontId="29" fillId="0" borderId="0" pivotButton="0" quotePrefix="0" xfId="1"/>
    <xf numFmtId="165" fontId="29" fillId="0" borderId="0" pivotButton="0" quotePrefix="0" xfId="1"/>
    <xf numFmtId="43" fontId="79" fillId="0" borderId="0" applyAlignment="1" pivotButton="0" quotePrefix="0" xfId="1">
      <alignment horizontal="center" vertical="center" wrapText="1"/>
    </xf>
    <xf numFmtId="43" fontId="29" fillId="0" borderId="12" pivotButton="0" quotePrefix="0" xfId="1"/>
    <xf numFmtId="43" fontId="41" fillId="0" borderId="12" pivotButton="0" quotePrefix="0" xfId="1"/>
    <xf numFmtId="164" fontId="77" fillId="0" borderId="6" applyAlignment="1" pivotButton="0" quotePrefix="0" xfId="1">
      <alignment horizontal="center"/>
    </xf>
    <xf numFmtId="43" fontId="41" fillId="0" borderId="1" applyAlignment="1" pivotButton="0" quotePrefix="0" xfId="1">
      <alignment horizontal="right"/>
    </xf>
    <xf numFmtId="164" fontId="41" fillId="0" borderId="8" applyAlignment="1" pivotButton="0" quotePrefix="0" xfId="1">
      <alignment horizontal="right"/>
    </xf>
    <xf numFmtId="164" fontId="41" fillId="0" borderId="0" applyAlignment="1" pivotButton="0" quotePrefix="0" xfId="1">
      <alignment horizontal="right"/>
    </xf>
    <xf numFmtId="14" fontId="29" fillId="0" borderId="0" pivotButton="0" quotePrefix="0" xfId="0"/>
    <xf numFmtId="17" fontId="41" fillId="0" borderId="0" pivotButton="0" quotePrefix="0" xfId="0"/>
    <xf numFmtId="43" fontId="29" fillId="0" borderId="0" pivotButton="0" quotePrefix="0" xfId="1"/>
    <xf numFmtId="43" fontId="41" fillId="0" borderId="0" pivotButton="0" quotePrefix="0" xfId="1"/>
    <xf numFmtId="164" fontId="75" fillId="0" borderId="34" applyAlignment="1" pivotButton="0" quotePrefix="0" xfId="1">
      <alignment horizontal="left"/>
    </xf>
    <xf numFmtId="164" fontId="75" fillId="21" borderId="32" applyAlignment="1" pivotButton="0" quotePrefix="0" xfId="1">
      <alignment horizontal="right" indent="1"/>
    </xf>
    <xf numFmtId="10" fontId="41" fillId="21" borderId="46" applyAlignment="1" pivotButton="0" quotePrefix="0" xfId="2">
      <alignment horizontal="right" indent="1"/>
    </xf>
    <xf numFmtId="164" fontId="75" fillId="21" borderId="33" applyAlignment="1" pivotButton="0" quotePrefix="0" xfId="1">
      <alignment horizontal="right" indent="1"/>
    </xf>
    <xf numFmtId="164" fontId="29" fillId="0" borderId="19" pivotButton="0" quotePrefix="0" xfId="1"/>
    <xf numFmtId="10" fontId="29" fillId="0" borderId="19" applyAlignment="1" pivotButton="0" quotePrefix="0" xfId="2">
      <alignment horizontal="center"/>
    </xf>
    <xf numFmtId="164" fontId="77" fillId="0" borderId="19" applyAlignment="1" pivotButton="0" quotePrefix="0" xfId="1">
      <alignment horizontal="center"/>
    </xf>
    <xf numFmtId="10" fontId="29" fillId="0" borderId="22" applyAlignment="1" pivotButton="0" quotePrefix="0" xfId="2">
      <alignment horizontal="center"/>
    </xf>
    <xf numFmtId="164" fontId="75" fillId="21" borderId="46" applyAlignment="1" pivotButton="0" quotePrefix="0" xfId="1">
      <alignment horizontal="right" indent="1"/>
    </xf>
    <xf numFmtId="164" fontId="75" fillId="21" borderId="3" applyAlignment="1" pivotButton="0" quotePrefix="0" xfId="1">
      <alignment horizontal="right" indent="1"/>
    </xf>
    <xf numFmtId="164" fontId="75" fillId="21" borderId="31" applyAlignment="1" pivotButton="0" quotePrefix="0" xfId="1">
      <alignment horizontal="center" vertical="center" wrapText="1"/>
    </xf>
    <xf numFmtId="164" fontId="75" fillId="21" borderId="32" applyAlignment="1" pivotButton="0" quotePrefix="0" xfId="1">
      <alignment horizontal="center" vertical="center" wrapText="1"/>
    </xf>
    <xf numFmtId="164" fontId="75" fillId="21" borderId="33" applyAlignment="1" pivotButton="0" quotePrefix="0" xfId="1">
      <alignment horizontal="center" vertical="center" wrapText="1"/>
    </xf>
    <xf numFmtId="0" fontId="76" fillId="0" borderId="11" pivotButton="0" quotePrefix="0" xfId="0"/>
    <xf numFmtId="0" fontId="76" fillId="0" borderId="0" pivotButton="0" quotePrefix="0" xfId="0"/>
    <xf numFmtId="164" fontId="74" fillId="21" borderId="32" pivotButton="0" quotePrefix="0" xfId="1"/>
    <xf numFmtId="164" fontId="80" fillId="21" borderId="31" applyAlignment="1" pivotButton="0" quotePrefix="0" xfId="1">
      <alignment horizontal="center"/>
    </xf>
    <xf numFmtId="164" fontId="80" fillId="21" borderId="32" pivotButton="0" quotePrefix="0" xfId="1"/>
    <xf numFmtId="164" fontId="75" fillId="0" borderId="34" pivotButton="0" quotePrefix="0" xfId="1"/>
    <xf numFmtId="164" fontId="29" fillId="0" borderId="35" pivotButton="0" quotePrefix="0" xfId="1"/>
    <xf numFmtId="164" fontId="75" fillId="0" borderId="14" applyAlignment="1" pivotButton="0" quotePrefix="0" xfId="1">
      <alignment horizontal="left"/>
    </xf>
    <xf numFmtId="164" fontId="75" fillId="0" borderId="15" pivotButton="0" quotePrefix="0" xfId="1"/>
    <xf numFmtId="164" fontId="75" fillId="0" borderId="7" applyAlignment="1" pivotButton="0" quotePrefix="0" xfId="1">
      <alignment horizontal="left"/>
    </xf>
    <xf numFmtId="164" fontId="29" fillId="0" borderId="25" pivotButton="0" quotePrefix="0" xfId="1"/>
    <xf numFmtId="164" fontId="75" fillId="0" borderId="21" pivotButton="0" quotePrefix="0" xfId="1"/>
    <xf numFmtId="164" fontId="75" fillId="0" borderId="26" pivotButton="0" quotePrefix="0" xfId="1"/>
    <xf numFmtId="164" fontId="29" fillId="0" borderId="49" pivotButton="0" quotePrefix="0" xfId="1"/>
    <xf numFmtId="164" fontId="74" fillId="21" borderId="31" applyAlignment="1" pivotButton="0" quotePrefix="0" xfId="1">
      <alignment horizontal="center" vertical="center" wrapText="1"/>
    </xf>
    <xf numFmtId="164" fontId="74" fillId="21" borderId="32" applyAlignment="1" pivotButton="0" quotePrefix="0" xfId="1">
      <alignment horizontal="center" vertical="center" wrapText="1"/>
    </xf>
    <xf numFmtId="164" fontId="74" fillId="21" borderId="33" applyAlignment="1" pivotButton="0" quotePrefix="0" xfId="1">
      <alignment horizontal="center" vertical="center" wrapText="1"/>
    </xf>
    <xf numFmtId="164" fontId="29" fillId="0" borderId="30" pivotButton="0" quotePrefix="0" xfId="1"/>
    <xf numFmtId="164" fontId="74" fillId="21" borderId="46" applyAlignment="1" pivotButton="0" quotePrefix="0" xfId="1">
      <alignment horizontal="center" vertical="center" wrapText="1"/>
    </xf>
    <xf numFmtId="164" fontId="77" fillId="0" borderId="51" applyAlignment="1" pivotButton="0" quotePrefix="0" xfId="1">
      <alignment horizontal="center"/>
    </xf>
    <xf numFmtId="164" fontId="77" fillId="0" borderId="40" applyAlignment="1" pivotButton="0" quotePrefix="0" xfId="1">
      <alignment horizontal="center"/>
    </xf>
    <xf numFmtId="164" fontId="77" fillId="0" borderId="42" applyAlignment="1" pivotButton="0" quotePrefix="0" xfId="1">
      <alignment horizontal="center"/>
    </xf>
    <xf numFmtId="164" fontId="74" fillId="21" borderId="8" applyAlignment="1" pivotButton="0" quotePrefix="0" xfId="1">
      <alignment horizontal="center" vertical="center" wrapText="1"/>
    </xf>
    <xf numFmtId="164" fontId="41" fillId="0" borderId="44" applyAlignment="1" pivotButton="0" quotePrefix="0" xfId="1">
      <alignment horizontal="left" vertical="top"/>
    </xf>
    <xf numFmtId="164" fontId="41" fillId="21" borderId="52" applyAlignment="1" pivotButton="0" quotePrefix="0" xfId="1">
      <alignment horizontal="left" vertical="top"/>
    </xf>
    <xf numFmtId="164" fontId="29" fillId="0" borderId="52" applyAlignment="1" pivotButton="0" quotePrefix="0" xfId="1">
      <alignment horizontal="left" vertical="top"/>
    </xf>
    <xf numFmtId="164" fontId="41" fillId="0" borderId="28" applyAlignment="1" pivotButton="0" quotePrefix="0" xfId="1">
      <alignment horizontal="left" vertical="top"/>
    </xf>
    <xf numFmtId="164" fontId="75" fillId="21" borderId="46" applyAlignment="1" pivotButton="0" quotePrefix="0" xfId="1">
      <alignment horizontal="center" vertical="center" wrapText="1"/>
    </xf>
    <xf numFmtId="164" fontId="75" fillId="21" borderId="8" applyAlignment="1" pivotButton="0" quotePrefix="0" xfId="1">
      <alignment horizontal="center" vertical="center" wrapText="1"/>
    </xf>
    <xf numFmtId="164" fontId="75" fillId="0" borderId="9" applyAlignment="1" pivotButton="0" quotePrefix="0" xfId="1">
      <alignment horizontal="center" vertical="center" wrapText="1"/>
    </xf>
    <xf numFmtId="164" fontId="75" fillId="0" borderId="52" applyAlignment="1" pivotButton="0" quotePrefix="0" xfId="1">
      <alignment horizontal="left"/>
    </xf>
    <xf numFmtId="164" fontId="75" fillId="0" borderId="52" applyAlignment="1" pivotButton="0" quotePrefix="0" xfId="1">
      <alignment horizontal="left" wrapText="1"/>
    </xf>
    <xf numFmtId="164" fontId="75" fillId="0" borderId="9" applyAlignment="1" pivotButton="0" quotePrefix="0" xfId="1">
      <alignment horizontal="left"/>
    </xf>
    <xf numFmtId="164" fontId="75" fillId="21" borderId="8" applyAlignment="1" pivotButton="0" quotePrefix="0" xfId="1">
      <alignment horizontal="right" indent="1"/>
    </xf>
    <xf numFmtId="164" fontId="29" fillId="0" borderId="40" pivotButton="0" quotePrefix="0" xfId="1"/>
    <xf numFmtId="164" fontId="29" fillId="0" borderId="42" pivotButton="0" quotePrefix="0" xfId="1"/>
    <xf numFmtId="164" fontId="77" fillId="0" borderId="52" applyAlignment="1" pivotButton="0" quotePrefix="0" xfId="1">
      <alignment horizontal="left" indent="4"/>
    </xf>
    <xf numFmtId="164" fontId="77" fillId="0" borderId="28" applyAlignment="1" pivotButton="0" quotePrefix="0" xfId="1">
      <alignment horizontal="left" indent="4"/>
    </xf>
    <xf numFmtId="164" fontId="77" fillId="0" borderId="9" applyAlignment="1" pivotButton="0" quotePrefix="0" xfId="1">
      <alignment horizontal="left" indent="4"/>
    </xf>
    <xf numFmtId="164" fontId="75" fillId="0" borderId="28" applyAlignment="1" pivotButton="0" quotePrefix="0" xfId="1">
      <alignment horizontal="left"/>
    </xf>
    <xf numFmtId="164" fontId="75" fillId="0" borderId="44" applyAlignment="1" pivotButton="0" quotePrefix="0" xfId="1">
      <alignment horizontal="left"/>
    </xf>
    <xf numFmtId="164" fontId="75" fillId="21" borderId="8" applyAlignment="1" pivotButton="0" quotePrefix="0" xfId="1">
      <alignment horizontal="left"/>
    </xf>
    <xf numFmtId="164" fontId="75" fillId="21" borderId="46" pivotButton="0" quotePrefix="0" xfId="1"/>
    <xf numFmtId="164" fontId="75" fillId="21" borderId="32" pivotButton="0" quotePrefix="0" xfId="1"/>
    <xf numFmtId="164" fontId="75" fillId="21" borderId="33" pivotButton="0" quotePrefix="0" xfId="1"/>
    <xf numFmtId="164" fontId="75" fillId="0" borderId="21" applyAlignment="1" pivotButton="0" quotePrefix="0" xfId="1">
      <alignment horizontal="left"/>
    </xf>
    <xf numFmtId="164" fontId="75" fillId="0" borderId="21" applyAlignment="1" pivotButton="0" quotePrefix="0" xfId="1">
      <alignment horizontal="left" indent="3"/>
    </xf>
    <xf numFmtId="43" fontId="29" fillId="0" borderId="21" pivotButton="0" quotePrefix="0" xfId="1"/>
    <xf numFmtId="164" fontId="74" fillId="0" borderId="20" applyAlignment="1" pivotButton="0" quotePrefix="0" xfId="1">
      <alignment horizontal="left"/>
    </xf>
    <xf numFmtId="164" fontId="75" fillId="0" borderId="21" pivotButton="0" quotePrefix="0" xfId="1"/>
    <xf numFmtId="164" fontId="75" fillId="0" borderId="20" pivotButton="0" quotePrefix="0" xfId="1"/>
    <xf numFmtId="164" fontId="83" fillId="0" borderId="20" pivotButton="0" quotePrefix="0" xfId="1"/>
    <xf numFmtId="164" fontId="83" fillId="0" borderId="0" pivotButton="0" quotePrefix="0" xfId="1"/>
    <xf numFmtId="164" fontId="81" fillId="0" borderId="0" applyAlignment="1" pivotButton="0" quotePrefix="0" xfId="1">
      <alignment horizontal="left"/>
    </xf>
    <xf numFmtId="164" fontId="82" fillId="0" borderId="0" applyAlignment="1" pivotButton="0" quotePrefix="0" xfId="1">
      <alignment horizontal="center"/>
    </xf>
    <xf numFmtId="164" fontId="75" fillId="0" borderId="4" pivotButton="0" quotePrefix="0" xfId="1"/>
    <xf numFmtId="164" fontId="77" fillId="0" borderId="9" pivotButton="0" quotePrefix="0" xfId="1"/>
    <xf numFmtId="164" fontId="75" fillId="0" borderId="9" pivotButton="0" quotePrefix="0" xfId="1"/>
    <xf numFmtId="164" fontId="84" fillId="0" borderId="12" applyAlignment="1" pivotButton="0" quotePrefix="0" xfId="1">
      <alignment horizontal="left" vertical="top"/>
    </xf>
    <xf numFmtId="164" fontId="77" fillId="0" borderId="9" applyAlignment="1" pivotButton="0" quotePrefix="0" xfId="26">
      <alignment horizontal="center"/>
    </xf>
    <xf numFmtId="164" fontId="77" fillId="0" borderId="13" applyAlignment="1" pivotButton="0" quotePrefix="0" xfId="26">
      <alignment horizontal="center"/>
    </xf>
    <xf numFmtId="164" fontId="77" fillId="0" borderId="26" applyAlignment="1" pivotButton="0" quotePrefix="0" xfId="26">
      <alignment horizontal="center"/>
    </xf>
    <xf numFmtId="164" fontId="77" fillId="0" borderId="9" applyAlignment="1" pivotButton="0" quotePrefix="0" xfId="43">
      <alignment horizontal="center"/>
    </xf>
    <xf numFmtId="164" fontId="77" fillId="0" borderId="0" applyAlignment="1" pivotButton="0" quotePrefix="0" xfId="1">
      <alignment horizontal="left"/>
    </xf>
    <xf numFmtId="164" fontId="77" fillId="0" borderId="0" applyAlignment="1" pivotButton="0" quotePrefix="0" xfId="1">
      <alignment vertical="top"/>
    </xf>
    <xf numFmtId="164" fontId="77" fillId="0" borderId="29" applyAlignment="1" pivotButton="0" quotePrefix="0" xfId="1">
      <alignment horizontal="center"/>
    </xf>
    <xf numFmtId="0" fontId="41" fillId="0" borderId="34" applyAlignment="1" pivotButton="0" quotePrefix="0" xfId="0">
      <alignment horizontal="center"/>
    </xf>
    <xf numFmtId="2" fontId="29" fillId="0" borderId="34" pivotButton="0" quotePrefix="0" xfId="0"/>
    <xf numFmtId="0" fontId="86" fillId="0" borderId="0" pivotButton="0" quotePrefix="0" xfId="3"/>
    <xf numFmtId="164" fontId="75" fillId="0" borderId="21" applyAlignment="1" pivotButton="0" quotePrefix="0" xfId="1">
      <alignment horizontal="center" wrapText="1"/>
    </xf>
    <xf numFmtId="9" fontId="29" fillId="0" borderId="21" applyAlignment="1" pivotButton="0" quotePrefix="0" xfId="2">
      <alignment horizontal="center"/>
    </xf>
    <xf numFmtId="9" fontId="75" fillId="0" borderId="21" pivotButton="0" quotePrefix="0" xfId="1"/>
    <xf numFmtId="9" fontId="29" fillId="0" borderId="0" applyAlignment="1" pivotButton="0" quotePrefix="0" xfId="2">
      <alignment horizontal="center"/>
    </xf>
    <xf numFmtId="9" fontId="75" fillId="0" borderId="0" pivotButton="0" quotePrefix="0" xfId="1"/>
    <xf numFmtId="9" fontId="75" fillId="0" borderId="4" pivotButton="0" quotePrefix="0" xfId="1"/>
    <xf numFmtId="9" fontId="29" fillId="0" borderId="9" applyAlignment="1" pivotButton="0" quotePrefix="0" xfId="2">
      <alignment horizontal="center"/>
    </xf>
    <xf numFmtId="9" fontId="75" fillId="0" borderId="9" pivotButton="0" quotePrefix="0" xfId="1"/>
    <xf numFmtId="164" fontId="75" fillId="21" borderId="31" applyAlignment="1" pivotButton="0" quotePrefix="0" xfId="1">
      <alignment horizontal="center"/>
    </xf>
    <xf numFmtId="9" fontId="75" fillId="21" borderId="32" pivotButton="0" quotePrefix="0" xfId="1"/>
    <xf numFmtId="9" fontId="74" fillId="21" borderId="32" pivotButton="0" quotePrefix="0" xfId="1"/>
    <xf numFmtId="164" fontId="74" fillId="21" borderId="33" pivotButton="0" quotePrefix="0" xfId="1"/>
    <xf numFmtId="164" fontId="75" fillId="0" borderId="9" applyAlignment="1" pivotButton="0" quotePrefix="0" xfId="1">
      <alignment horizontal="left" wrapText="1"/>
    </xf>
    <xf numFmtId="164" fontId="41" fillId="21" borderId="8" pivotButton="0" quotePrefix="0" xfId="0"/>
    <xf numFmtId="164" fontId="75" fillId="21" borderId="8" applyAlignment="1" pivotButton="0" quotePrefix="0" xfId="1">
      <alignment horizontal="center" vertical="center"/>
    </xf>
    <xf numFmtId="0" fontId="29" fillId="0" borderId="40" pivotButton="0" quotePrefix="0" xfId="0"/>
    <xf numFmtId="0" fontId="29" fillId="0" borderId="47" pivotButton="0" quotePrefix="0" xfId="0"/>
    <xf numFmtId="0" fontId="29" fillId="0" borderId="35" pivotButton="0" quotePrefix="0" xfId="0"/>
    <xf numFmtId="164" fontId="29" fillId="0" borderId="35" pivotButton="0" quotePrefix="0" xfId="0"/>
    <xf numFmtId="0" fontId="41" fillId="0" borderId="23" pivotButton="0" quotePrefix="0" xfId="0"/>
    <xf numFmtId="164" fontId="41" fillId="0" borderId="24" pivotButton="0" quotePrefix="0" xfId="0"/>
    <xf numFmtId="164" fontId="41" fillId="0" borderId="53" pivotButton="0" quotePrefix="0" xfId="0"/>
    <xf numFmtId="0" fontId="41" fillId="0" borderId="48" pivotButton="0" quotePrefix="0" xfId="0"/>
    <xf numFmtId="164" fontId="41" fillId="0" borderId="22" pivotButton="0" quotePrefix="0" xfId="0"/>
    <xf numFmtId="164" fontId="41" fillId="0" borderId="49" pivotButton="0" quotePrefix="0" xfId="0"/>
    <xf numFmtId="0" fontId="85" fillId="0" borderId="31" applyAlignment="1" pivotButton="0" quotePrefix="0" xfId="0">
      <alignment horizontal="center"/>
    </xf>
    <xf numFmtId="0" fontId="85" fillId="0" borderId="32" applyAlignment="1" pivotButton="0" quotePrefix="0" xfId="0">
      <alignment horizontal="center"/>
    </xf>
    <xf numFmtId="0" fontId="85" fillId="0" borderId="33" applyAlignment="1" pivotButton="0" quotePrefix="0" xfId="0">
      <alignment horizontal="center"/>
    </xf>
    <xf numFmtId="14" fontId="75" fillId="0" borderId="9" applyAlignment="1" pivotButton="0" quotePrefix="0" xfId="1">
      <alignment horizontal="center"/>
    </xf>
    <xf numFmtId="164" fontId="87" fillId="0" borderId="22" applyAlignment="1" pivotButton="0" quotePrefix="0" xfId="1">
      <alignment horizontal="left"/>
    </xf>
    <xf numFmtId="164" fontId="87" fillId="0" borderId="20" applyAlignment="1" pivotButton="0" quotePrefix="0" xfId="1">
      <alignment horizontal="center"/>
    </xf>
    <xf numFmtId="164" fontId="88" fillId="0" borderId="20" applyAlignment="1" pivotButton="0" quotePrefix="0" xfId="1">
      <alignment horizontal="center"/>
    </xf>
    <xf numFmtId="164" fontId="89" fillId="0" borderId="21" pivotButton="0" quotePrefix="0" xfId="1"/>
    <xf numFmtId="9" fontId="89" fillId="0" borderId="21" applyAlignment="1" pivotButton="0" quotePrefix="0" xfId="2">
      <alignment horizontal="center"/>
    </xf>
    <xf numFmtId="164" fontId="87" fillId="0" borderId="20" applyAlignment="1" pivotButton="0" quotePrefix="0" xfId="1">
      <alignment horizontal="left"/>
    </xf>
    <xf numFmtId="164" fontId="87" fillId="22" borderId="22" applyAlignment="1" pivotButton="0" quotePrefix="0" xfId="1">
      <alignment horizontal="left"/>
    </xf>
    <xf numFmtId="164" fontId="88" fillId="22" borderId="22" applyAlignment="1" pivotButton="0" quotePrefix="0" xfId="1">
      <alignment horizontal="center"/>
    </xf>
    <xf numFmtId="164" fontId="89" fillId="22" borderId="22" pivotButton="0" quotePrefix="0" xfId="1"/>
    <xf numFmtId="9" fontId="89" fillId="22" borderId="22" applyAlignment="1" pivotButton="0" quotePrefix="0" xfId="2">
      <alignment horizontal="center"/>
    </xf>
    <xf numFmtId="164" fontId="77" fillId="0" borderId="19" applyAlignment="1" pivotButton="0" quotePrefix="0" xfId="1">
      <alignment horizontal="left"/>
    </xf>
    <xf numFmtId="164" fontId="74" fillId="21" borderId="31" applyAlignment="1" pivotButton="0" quotePrefix="0" xfId="1">
      <alignment horizontal="left"/>
    </xf>
    <xf numFmtId="164" fontId="53" fillId="21" borderId="32" applyAlignment="1" pivotButton="0" quotePrefix="0" xfId="1">
      <alignment horizontal="center"/>
    </xf>
    <xf numFmtId="164" fontId="53" fillId="21" borderId="33" applyAlignment="1" pivotButton="0" quotePrefix="0" xfId="1">
      <alignment horizontal="center"/>
    </xf>
    <xf numFmtId="43" fontId="41" fillId="21" borderId="1" applyAlignment="1" pivotButton="0" quotePrefix="0" xfId="1">
      <alignment horizontal="right"/>
    </xf>
    <xf numFmtId="164" fontId="41" fillId="21" borderId="8" applyAlignment="1" pivotButton="0" quotePrefix="0" xfId="1">
      <alignment horizontal="right"/>
    </xf>
    <xf numFmtId="43" fontId="90" fillId="21" borderId="1" applyAlignment="1" pivotButton="0" quotePrefix="0" xfId="1">
      <alignment horizontal="right"/>
    </xf>
    <xf numFmtId="164" fontId="90" fillId="21" borderId="8" applyAlignment="1" pivotButton="0" quotePrefix="0" xfId="1">
      <alignment horizontal="right"/>
    </xf>
    <xf numFmtId="0" fontId="76" fillId="0" borderId="10" applyAlignment="1" pivotButton="0" quotePrefix="0" xfId="0">
      <alignment horizontal="centerContinuous"/>
    </xf>
    <xf numFmtId="0" fontId="76" fillId="0" borderId="11" applyAlignment="1" pivotButton="0" quotePrefix="0" xfId="0">
      <alignment horizontal="centerContinuous"/>
    </xf>
    <xf numFmtId="0" fontId="76" fillId="0" borderId="5" applyAlignment="1" pivotButton="0" quotePrefix="0" xfId="0">
      <alignment horizontal="centerContinuous"/>
    </xf>
    <xf numFmtId="164" fontId="75" fillId="0" borderId="1" applyAlignment="1" pivotButton="0" quotePrefix="0" xfId="1">
      <alignment horizontal="centerContinuous"/>
    </xf>
    <xf numFmtId="164" fontId="75" fillId="0" borderId="2" applyAlignment="1" pivotButton="0" quotePrefix="0" xfId="1">
      <alignment horizontal="centerContinuous"/>
    </xf>
    <xf numFmtId="164" fontId="75" fillId="0" borderId="3" applyAlignment="1" pivotButton="0" quotePrefix="0" xfId="1">
      <alignment horizontal="centerContinuous"/>
    </xf>
    <xf numFmtId="172" fontId="29" fillId="0" borderId="0" pivotButton="0" quotePrefix="0" xfId="0"/>
    <xf numFmtId="164" fontId="75" fillId="16" borderId="32" pivotButton="0" quotePrefix="0" xfId="1"/>
    <xf numFmtId="164" fontId="75" fillId="0" borderId="22" pivotButton="0" quotePrefix="0" xfId="1"/>
    <xf numFmtId="164" fontId="75" fillId="21" borderId="8" applyAlignment="1" pivotButton="0" quotePrefix="0" xfId="1">
      <alignment horizontal="center"/>
    </xf>
    <xf numFmtId="164" fontId="75" fillId="0" borderId="51" pivotButton="0" quotePrefix="0" xfId="1"/>
    <xf numFmtId="164" fontId="75" fillId="16" borderId="46" pivotButton="0" quotePrefix="0" xfId="1"/>
    <xf numFmtId="164" fontId="75" fillId="16" borderId="8" applyAlignment="1" pivotButton="0" quotePrefix="0" xfId="1">
      <alignment horizontal="center"/>
    </xf>
    <xf numFmtId="164" fontId="41" fillId="0" borderId="9" applyAlignment="1" pivotButton="0" quotePrefix="0" xfId="1">
      <alignment horizontal="left" vertical="top"/>
    </xf>
    <xf numFmtId="164" fontId="41" fillId="0" borderId="52" applyAlignment="1" pivotButton="0" quotePrefix="0" xfId="1">
      <alignment horizontal="left" vertical="top"/>
    </xf>
    <xf numFmtId="164" fontId="75" fillId="21" borderId="1" applyAlignment="1" pivotButton="0" quotePrefix="0" xfId="1">
      <alignment horizontal="left"/>
    </xf>
    <xf numFmtId="164" fontId="75" fillId="21" borderId="2" pivotButton="0" quotePrefix="0" xfId="1"/>
    <xf numFmtId="164" fontId="75" fillId="21" borderId="8" pivotButton="0" quotePrefix="0" xfId="1"/>
    <xf numFmtId="164" fontId="75" fillId="21" borderId="3" applyAlignment="1" pivotButton="0" quotePrefix="0" xfId="1">
      <alignment horizontal="center" vertical="center" wrapText="1"/>
    </xf>
    <xf numFmtId="164" fontId="75" fillId="0" borderId="9" applyAlignment="1" pivotButton="0" quotePrefix="0" xfId="1">
      <alignment horizontal="center"/>
    </xf>
    <xf numFmtId="164" fontId="77" fillId="0" borderId="52" applyAlignment="1" pivotButton="0" quotePrefix="0" xfId="1">
      <alignment horizontal="left"/>
    </xf>
    <xf numFmtId="164" fontId="77" fillId="0" borderId="28" applyAlignment="1" pivotButton="0" quotePrefix="0" xfId="1">
      <alignment horizontal="left"/>
    </xf>
    <xf numFmtId="164" fontId="75" fillId="0" borderId="11" applyAlignment="1" pivotButton="0" quotePrefix="0" xfId="1">
      <alignment horizontal="center"/>
    </xf>
    <xf numFmtId="164" fontId="77" fillId="0" borderId="52" applyAlignment="1" pivotButton="0" quotePrefix="0" xfId="1">
      <alignment horizontal="center"/>
    </xf>
    <xf numFmtId="164" fontId="75" fillId="21" borderId="2" applyAlignment="1" pivotButton="0" quotePrefix="0" xfId="1">
      <alignment horizontal="center" vertical="center" wrapText="1"/>
    </xf>
    <xf numFmtId="164" fontId="77" fillId="0" borderId="39" applyAlignment="1" pivotButton="0" quotePrefix="0" xfId="1">
      <alignment horizontal="center"/>
    </xf>
    <xf numFmtId="164" fontId="77" fillId="0" borderId="41" applyAlignment="1" pivotButton="0" quotePrefix="0" xfId="1">
      <alignment horizontal="center"/>
    </xf>
    <xf numFmtId="164" fontId="32" fillId="0" borderId="34" pivotButton="0" quotePrefix="0" xfId="1"/>
    <xf numFmtId="164" fontId="32" fillId="0" borderId="35" pivotButton="0" quotePrefix="0" xfId="1"/>
    <xf numFmtId="10" fontId="32" fillId="0" borderId="34" applyAlignment="1" pivotButton="0" quotePrefix="0" xfId="2">
      <alignment horizontal="center"/>
    </xf>
    <xf numFmtId="43" fontId="41" fillId="0" borderId="52" pivotButton="0" quotePrefix="0" xfId="1"/>
    <xf numFmtId="43" fontId="29" fillId="0" borderId="52" pivotButton="0" quotePrefix="0" xfId="1"/>
    <xf numFmtId="43" fontId="41" fillId="21" borderId="8" applyAlignment="1" pivotButton="0" quotePrefix="0" xfId="1">
      <alignment horizontal="right"/>
    </xf>
    <xf numFmtId="43" fontId="29" fillId="0" borderId="28" pivotButton="0" quotePrefix="0" xfId="1"/>
    <xf numFmtId="43" fontId="41" fillId="0" borderId="8" applyAlignment="1" pivotButton="0" quotePrefix="0" xfId="1">
      <alignment horizontal="right"/>
    </xf>
    <xf numFmtId="164" fontId="41" fillId="0" borderId="1" applyAlignment="1" pivotButton="0" quotePrefix="0" xfId="1">
      <alignment horizontal="right"/>
    </xf>
    <xf numFmtId="164" fontId="41" fillId="21" borderId="2" applyAlignment="1" pivotButton="0" quotePrefix="0" xfId="1">
      <alignment horizontal="right"/>
    </xf>
    <xf numFmtId="164" fontId="32" fillId="0" borderId="52" applyAlignment="1" pivotButton="0" quotePrefix="0" xfId="1">
      <alignment horizontal="left" vertical="top"/>
    </xf>
    <xf numFmtId="164" fontId="77" fillId="0" borderId="12" applyAlignment="1" pivotButton="0" quotePrefix="0" xfId="1">
      <alignment horizontal="left" indent="1"/>
    </xf>
    <xf numFmtId="1" fontId="29" fillId="0" borderId="34" pivotButton="0" quotePrefix="0" xfId="0"/>
    <xf numFmtId="10" fontId="32" fillId="0" borderId="19" applyAlignment="1" pivotButton="0" quotePrefix="0" xfId="2">
      <alignment horizontal="center"/>
    </xf>
    <xf numFmtId="164" fontId="32" fillId="0" borderId="19" pivotButton="0" quotePrefix="0" xfId="1"/>
    <xf numFmtId="164" fontId="75" fillId="0" borderId="22" applyAlignment="1" pivotButton="0" quotePrefix="0" xfId="1">
      <alignment horizontal="center" vertical="center" wrapText="1"/>
    </xf>
    <xf numFmtId="164" fontId="75" fillId="0" borderId="51" applyAlignment="1" pivotButton="0" quotePrefix="0" xfId="1">
      <alignment horizontal="center" vertical="center" wrapText="1"/>
    </xf>
    <xf numFmtId="164" fontId="75" fillId="0" borderId="44" applyAlignment="1" pivotButton="0" quotePrefix="0" xfId="1">
      <alignment horizontal="center" vertical="center" wrapText="1"/>
    </xf>
    <xf numFmtId="164" fontId="75" fillId="0" borderId="49" applyAlignment="1" pivotButton="0" quotePrefix="0" xfId="1">
      <alignment horizontal="center" vertical="center" wrapText="1"/>
    </xf>
    <xf numFmtId="164" fontId="32" fillId="0" borderId="30" pivotButton="0" quotePrefix="0" xfId="1"/>
    <xf numFmtId="164" fontId="32" fillId="0" borderId="52" applyAlignment="1" pivotButton="0" quotePrefix="0" xfId="1">
      <alignment horizontal="left" vertical="top" wrapText="1"/>
    </xf>
    <xf numFmtId="164" fontId="32" fillId="0" borderId="28" applyAlignment="1" pivotButton="0" quotePrefix="0" xfId="1">
      <alignment horizontal="left" vertical="top"/>
    </xf>
    <xf numFmtId="164" fontId="77" fillId="0" borderId="25" applyAlignment="1" pivotButton="0" quotePrefix="0" xfId="1">
      <alignment horizontal="center"/>
    </xf>
    <xf numFmtId="164" fontId="77" fillId="0" borderId="47" applyAlignment="1" pivotButton="0" quotePrefix="0" xfId="1">
      <alignment horizontal="center"/>
    </xf>
    <xf numFmtId="164" fontId="77" fillId="0" borderId="50" applyAlignment="1" pivotButton="0" quotePrefix="0" xfId="1">
      <alignment horizontal="center"/>
    </xf>
    <xf numFmtId="43" fontId="91" fillId="0" borderId="12" pivotButton="0" quotePrefix="0" xfId="1"/>
    <xf numFmtId="43" fontId="32" fillId="0" borderId="12" pivotButton="0" quotePrefix="0" xfId="1"/>
    <xf numFmtId="164" fontId="91" fillId="0" borderId="25" applyAlignment="1" pivotButton="0" quotePrefix="0" xfId="1">
      <alignment horizontal="left" vertical="top"/>
    </xf>
    <xf numFmtId="43" fontId="32" fillId="0" borderId="12" applyAlignment="1" pivotButton="0" quotePrefix="0" xfId="1">
      <alignment wrapText="1"/>
    </xf>
    <xf numFmtId="164" fontId="29" fillId="0" borderId="52" applyAlignment="1" pivotButton="0" quotePrefix="0" xfId="1">
      <alignment horizontal="left" vertical="top" wrapText="1"/>
    </xf>
    <xf numFmtId="0" fontId="4" fillId="0" borderId="0" pivotButton="0" quotePrefix="0" xfId="0"/>
    <xf numFmtId="2" fontId="29" fillId="0" borderId="34" pivotButton="0" quotePrefix="0" xfId="1"/>
    <xf numFmtId="49" fontId="53" fillId="0" borderId="9" applyAlignment="1" pivotButton="0" quotePrefix="0" xfId="0">
      <alignment horizontal="left" vertical="top" wrapText="1"/>
    </xf>
    <xf numFmtId="164" fontId="38" fillId="0" borderId="8" applyAlignment="1" pivotButton="0" quotePrefix="0" xfId="1">
      <alignment horizontal="center" vertical="center"/>
    </xf>
    <xf numFmtId="173" fontId="29" fillId="0" borderId="0" pivotButton="0" quotePrefix="0" xfId="2"/>
    <xf numFmtId="164" fontId="75" fillId="0" borderId="0" applyAlignment="1" pivotButton="0" quotePrefix="0" xfId="1">
      <alignment horizontal="center" vertical="center" wrapText="1"/>
    </xf>
    <xf numFmtId="164" fontId="75" fillId="0" borderId="0" applyAlignment="1" pivotButton="0" quotePrefix="0" xfId="1">
      <alignment horizontal="center" vertical="center" wrapText="1"/>
    </xf>
    <xf numFmtId="164" fontId="75" fillId="0" borderId="12" applyAlignment="1" pivotButton="0" quotePrefix="0" xfId="1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164" fontId="82" fillId="0" borderId="21" applyAlignment="1" pivotButton="0" quotePrefix="0" xfId="1">
      <alignment horizontal="center"/>
    </xf>
    <xf numFmtId="2" fontId="29" fillId="0" borderId="0" pivotButton="0" quotePrefix="0" xfId="2"/>
    <xf numFmtId="2" fontId="29" fillId="0" borderId="0" pivotButton="0" quotePrefix="0" xfId="2"/>
    <xf numFmtId="173" fontId="29" fillId="0" borderId="0" pivotButton="0" quotePrefix="0" xfId="2"/>
    <xf numFmtId="164" fontId="75" fillId="18" borderId="0" applyAlignment="1" pivotButton="0" quotePrefix="0" xfId="1">
      <alignment horizontal="center"/>
    </xf>
    <xf numFmtId="164" fontId="75" fillId="18" borderId="17" applyAlignment="1" pivotButton="0" quotePrefix="0" xfId="1">
      <alignment horizontal="center" vertical="center" wrapText="1"/>
    </xf>
    <xf numFmtId="10" fontId="29" fillId="17" borderId="34" applyAlignment="1" pivotButton="0" quotePrefix="0" xfId="2">
      <alignment horizontal="center"/>
    </xf>
    <xf numFmtId="164" fontId="75" fillId="17" borderId="34" pivotButton="0" quotePrefix="0" xfId="1"/>
    <xf numFmtId="9" fontId="75" fillId="0" borderId="0" pivotButton="0" quotePrefix="0" xfId="2"/>
    <xf numFmtId="43" fontId="75" fillId="0" borderId="0" pivotButton="0" quotePrefix="0" xfId="1"/>
    <xf numFmtId="10" fontId="29" fillId="16" borderId="34" applyAlignment="1" pivotButton="0" quotePrefix="0" xfId="2">
      <alignment horizontal="center"/>
    </xf>
    <xf numFmtId="164" fontId="75" fillId="16" borderId="34" pivotButton="0" quotePrefix="0" xfId="1"/>
    <xf numFmtId="43" fontId="41" fillId="0" borderId="0" pivotButton="0" quotePrefix="0" xfId="0"/>
    <xf numFmtId="10" fontId="29" fillId="7" borderId="34" applyAlignment="1" pivotButton="0" quotePrefix="0" xfId="2">
      <alignment horizontal="center"/>
    </xf>
    <xf numFmtId="164" fontId="75" fillId="7" borderId="34" pivotButton="0" quotePrefix="0" xfId="1"/>
    <xf numFmtId="2" fontId="29" fillId="0" borderId="0" pivotButton="0" quotePrefix="0" xfId="0"/>
    <xf numFmtId="170" fontId="41" fillId="0" borderId="0" pivotButton="0" quotePrefix="0" xfId="0"/>
    <xf numFmtId="10" fontId="29" fillId="0" borderId="0" applyAlignment="1" pivotButton="0" quotePrefix="0" xfId="2">
      <alignment horizontal="center"/>
    </xf>
    <xf numFmtId="10" fontId="29" fillId="0" borderId="9" applyAlignment="1" pivotButton="0" quotePrefix="0" xfId="2">
      <alignment horizontal="center"/>
    </xf>
    <xf numFmtId="14" fontId="75" fillId="15" borderId="9" applyAlignment="1" pivotButton="0" quotePrefix="0" xfId="1">
      <alignment horizontal="center"/>
    </xf>
    <xf numFmtId="0" fontId="29" fillId="0" borderId="8" pivotButton="0" quotePrefix="0" xfId="0"/>
    <xf numFmtId="164" fontId="41" fillId="0" borderId="8" pivotButton="0" quotePrefix="0" xfId="0"/>
    <xf numFmtId="164" fontId="75" fillId="0" borderId="0" pivotButton="0" quotePrefix="0" xfId="1"/>
    <xf numFmtId="164" fontId="29" fillId="0" borderId="0" pivotButton="0" quotePrefix="0" xfId="1"/>
    <xf numFmtId="10" fontId="29" fillId="0" borderId="21" applyAlignment="1" pivotButton="0" quotePrefix="0" xfId="2">
      <alignment horizontal="center"/>
    </xf>
    <xf numFmtId="164" fontId="29" fillId="0" borderId="20" pivotButton="0" quotePrefix="0" xfId="1"/>
    <xf numFmtId="164" fontId="29" fillId="0" borderId="13" pivotButton="0" quotePrefix="0" xfId="1"/>
    <xf numFmtId="164" fontId="41" fillId="0" borderId="8" applyAlignment="1" pivotButton="0" quotePrefix="0" xfId="1">
      <alignment horizontal="left" vertical="top"/>
    </xf>
    <xf numFmtId="164" fontId="41" fillId="0" borderId="25" applyAlignment="1" pivotButton="0" quotePrefix="0" xfId="1">
      <alignment horizontal="left" vertical="top"/>
    </xf>
    <xf numFmtId="174" fontId="29" fillId="0" borderId="0" pivotButton="0" quotePrefix="0" xfId="0"/>
    <xf numFmtId="164" fontId="75" fillId="0" borderId="0" applyAlignment="1" pivotButton="0" quotePrefix="0" xfId="1">
      <alignment horizontal="left"/>
    </xf>
    <xf numFmtId="164" fontId="75" fillId="0" borderId="0" pivotButton="0" quotePrefix="0" xfId="1"/>
    <xf numFmtId="164" fontId="75" fillId="0" borderId="0" applyAlignment="1" pivotButton="0" quotePrefix="0" xfId="1">
      <alignment horizontal="center"/>
    </xf>
    <xf numFmtId="164" fontId="75" fillId="0" borderId="12" applyAlignment="1" pivotButton="0" quotePrefix="0" xfId="1">
      <alignment horizontal="center"/>
    </xf>
    <xf numFmtId="164" fontId="75" fillId="0" borderId="4" applyAlignment="1" pivotButton="0" quotePrefix="0" xfId="1">
      <alignment horizontal="center"/>
    </xf>
    <xf numFmtId="173" fontId="29" fillId="0" borderId="0" pivotButton="0" quotePrefix="0" xfId="2"/>
    <xf numFmtId="164" fontId="77" fillId="0" borderId="12" applyAlignment="1" pivotButton="0" quotePrefix="0" xfId="1">
      <alignment horizontal="left"/>
    </xf>
    <xf numFmtId="164" fontId="77" fillId="0" borderId="0" applyAlignment="1" pivotButton="0" quotePrefix="0" xfId="1">
      <alignment horizontal="center"/>
    </xf>
    <xf numFmtId="164" fontId="77" fillId="0" borderId="9" applyAlignment="1" pivotButton="0" quotePrefix="0" xfId="1">
      <alignment horizontal="center"/>
    </xf>
    <xf numFmtId="164" fontId="29" fillId="0" borderId="0" applyAlignment="1" pivotButton="0" quotePrefix="0" xfId="1">
      <alignment wrapText="1"/>
    </xf>
    <xf numFmtId="164" fontId="29" fillId="0" borderId="0" applyAlignment="1" pivotButton="0" quotePrefix="0" xfId="1">
      <alignment vertical="center"/>
    </xf>
    <xf numFmtId="173" fontId="29" fillId="0" borderId="0" applyAlignment="1" pivotButton="0" quotePrefix="0" xfId="2">
      <alignment vertical="center"/>
    </xf>
    <xf numFmtId="164" fontId="77" fillId="0" borderId="9" applyAlignment="1" pivotButton="0" quotePrefix="0" xfId="1">
      <alignment horizontal="left"/>
    </xf>
    <xf numFmtId="164" fontId="77" fillId="0" borderId="9" applyAlignment="1" pivotButton="0" quotePrefix="0" xfId="1">
      <alignment horizontal="left"/>
    </xf>
    <xf numFmtId="164" fontId="77" fillId="0" borderId="27" applyAlignment="1" pivotButton="0" quotePrefix="0" xfId="1">
      <alignment horizontal="left"/>
    </xf>
    <xf numFmtId="164" fontId="77" fillId="0" borderId="4" applyAlignment="1" pivotButton="0" quotePrefix="0" xfId="1">
      <alignment horizontal="center"/>
    </xf>
    <xf numFmtId="164" fontId="41" fillId="0" borderId="0" pivotButton="0" quotePrefix="0" xfId="1"/>
    <xf numFmtId="164" fontId="77" fillId="0" borderId="13" applyAlignment="1" pivotButton="0" quotePrefix="0" xfId="1">
      <alignment horizontal="center"/>
    </xf>
    <xf numFmtId="164" fontId="77" fillId="0" borderId="6" applyAlignment="1" pivotButton="0" quotePrefix="0" xfId="1">
      <alignment horizontal="center"/>
    </xf>
    <xf numFmtId="164" fontId="77" fillId="0" borderId="7" applyAlignment="1" pivotButton="0" quotePrefix="0" xfId="1">
      <alignment horizontal="center"/>
    </xf>
    <xf numFmtId="164" fontId="77" fillId="0" borderId="0" pivotButton="0" quotePrefix="0" xfId="1"/>
    <xf numFmtId="164" fontId="75" fillId="0" borderId="5" applyAlignment="1" pivotButton="0" quotePrefix="0" xfId="1">
      <alignment horizontal="center"/>
    </xf>
    <xf numFmtId="164" fontId="75" fillId="0" borderId="26" applyAlignment="1" pivotButton="0" quotePrefix="0" xfId="1">
      <alignment horizontal="center"/>
    </xf>
    <xf numFmtId="171" fontId="29" fillId="0" borderId="0" pivotButton="0" quotePrefix="0" xfId="0"/>
    <xf numFmtId="164" fontId="77" fillId="0" borderId="26" applyAlignment="1" pivotButton="0" quotePrefix="0" xfId="1">
      <alignment horizontal="center"/>
    </xf>
    <xf numFmtId="164" fontId="77" fillId="0" borderId="28" applyAlignment="1" pivotButton="0" quotePrefix="0" xfId="1">
      <alignment horizontal="center"/>
    </xf>
    <xf numFmtId="164" fontId="77" fillId="0" borderId="29" applyAlignment="1" pivotButton="0" quotePrefix="0" xfId="1">
      <alignment horizontal="center"/>
    </xf>
    <xf numFmtId="164" fontId="77" fillId="0" borderId="30" applyAlignment="1" pivotButton="0" quotePrefix="0" xfId="1">
      <alignment horizontal="center"/>
    </xf>
    <xf numFmtId="171" fontId="41" fillId="0" borderId="0" pivotButton="0" quotePrefix="0" xfId="0"/>
    <xf numFmtId="0" fontId="92" fillId="13" borderId="34" applyAlignment="1" pivotButton="0" quotePrefix="0" xfId="0">
      <alignment horizontal="center"/>
    </xf>
    <xf numFmtId="0" fontId="93" fillId="13" borderId="34" pivotButton="0" quotePrefix="0" xfId="0"/>
    <xf numFmtId="0" fontId="41" fillId="13" borderId="34" pivotButton="0" quotePrefix="0" xfId="0"/>
    <xf numFmtId="164" fontId="41" fillId="13" borderId="34" pivotButton="0" quotePrefix="0" xfId="1"/>
    <xf numFmtId="164" fontId="29" fillId="13" borderId="34" pivotButton="0" quotePrefix="0" xfId="1"/>
    <xf numFmtId="0" fontId="29" fillId="13" borderId="34" pivotButton="0" quotePrefix="0" xfId="0"/>
    <xf numFmtId="0" fontId="92" fillId="14" borderId="34" pivotButton="0" quotePrefix="0" xfId="0"/>
    <xf numFmtId="164" fontId="92" fillId="14" borderId="34" pivotButton="0" quotePrefix="0" xfId="1"/>
    <xf numFmtId="43" fontId="41" fillId="0" borderId="12" applyAlignment="1" pivotButton="0" quotePrefix="0" xfId="1">
      <alignment horizontal="right"/>
    </xf>
    <xf numFmtId="164" fontId="32" fillId="0" borderId="21" applyAlignment="1" pivotButton="0" quotePrefix="0" xfId="1">
      <alignment horizontal="center"/>
    </xf>
    <xf numFmtId="164" fontId="77" fillId="0" borderId="34" applyAlignment="1" pivotButton="0" quotePrefix="0" xfId="1">
      <alignment horizontal="center"/>
    </xf>
    <xf numFmtId="164" fontId="32" fillId="7" borderId="34" applyAlignment="1" pivotButton="0" quotePrefix="0" xfId="1">
      <alignment horizontal="center"/>
    </xf>
    <xf numFmtId="164" fontId="32" fillId="0" borderId="34" applyAlignment="1" pivotButton="0" quotePrefix="0" xfId="1">
      <alignment horizontal="center"/>
    </xf>
    <xf numFmtId="164" fontId="75" fillId="0" borderId="16" applyAlignment="1" pivotButton="0" quotePrefix="0" xfId="1">
      <alignment horizontal="left"/>
    </xf>
    <xf numFmtId="164" fontId="77" fillId="0" borderId="17" applyAlignment="1" pivotButton="0" quotePrefix="0" xfId="1">
      <alignment horizontal="center"/>
    </xf>
    <xf numFmtId="10" fontId="29" fillId="0" borderId="17" applyAlignment="1" pivotButton="0" quotePrefix="0" xfId="2">
      <alignment horizontal="center"/>
    </xf>
    <xf numFmtId="164" fontId="77" fillId="0" borderId="18" applyAlignment="1" pivotButton="0" quotePrefix="0" xfId="1">
      <alignment horizontal="center"/>
    </xf>
    <xf numFmtId="164" fontId="75" fillId="0" borderId="47" applyAlignment="1" pivotButton="0" quotePrefix="0" xfId="1">
      <alignment horizontal="left"/>
    </xf>
    <xf numFmtId="164" fontId="75" fillId="7" borderId="47" applyAlignment="1" pivotButton="0" quotePrefix="0" xfId="1">
      <alignment horizontal="left"/>
    </xf>
    <xf numFmtId="164" fontId="32" fillId="0" borderId="35" applyAlignment="1" pivotButton="0" quotePrefix="0" xfId="1">
      <alignment horizontal="center"/>
    </xf>
    <xf numFmtId="164" fontId="32" fillId="0" borderId="24" applyAlignment="1" pivotButton="0" quotePrefix="0" xfId="1">
      <alignment horizontal="center"/>
    </xf>
    <xf numFmtId="10" fontId="29" fillId="0" borderId="24" applyAlignment="1" pivotButton="0" quotePrefix="0" xfId="2">
      <alignment horizontal="center"/>
    </xf>
    <xf numFmtId="164" fontId="32" fillId="0" borderId="53" applyAlignment="1" pivotButton="0" quotePrefix="0" xfId="1">
      <alignment horizontal="center"/>
    </xf>
    <xf numFmtId="164" fontId="29" fillId="0" borderId="17" pivotButton="0" quotePrefix="0" xfId="1"/>
    <xf numFmtId="164" fontId="29" fillId="0" borderId="18" pivotButton="0" quotePrefix="0" xfId="1"/>
    <xf numFmtId="164" fontId="75" fillId="7" borderId="23" applyAlignment="1" pivotButton="0" quotePrefix="0" xfId="1">
      <alignment horizontal="left"/>
    </xf>
    <xf numFmtId="164" fontId="32" fillId="7" borderId="24" applyAlignment="1" pivotButton="0" quotePrefix="0" xfId="1">
      <alignment horizontal="center"/>
    </xf>
    <xf numFmtId="164" fontId="77" fillId="0" borderId="24" applyAlignment="1" pivotButton="0" quotePrefix="0" xfId="1">
      <alignment horizontal="center"/>
    </xf>
    <xf numFmtId="164" fontId="29" fillId="0" borderId="24" pivotButton="0" quotePrefix="0" xfId="1"/>
    <xf numFmtId="164" fontId="29" fillId="0" borderId="53" pivotButton="0" quotePrefix="0" xfId="1"/>
    <xf numFmtId="164" fontId="75" fillId="23" borderId="8" applyAlignment="1" pivotButton="0" quotePrefix="0" xfId="1">
      <alignment horizontal="center" vertical="center" wrapText="1"/>
    </xf>
    <xf numFmtId="164" fontId="80" fillId="23" borderId="31" applyAlignment="1" pivotButton="0" quotePrefix="0" xfId="1">
      <alignment horizontal="center"/>
    </xf>
    <xf numFmtId="164" fontId="80" fillId="23" borderId="32" pivotButton="0" quotePrefix="0" xfId="1"/>
    <xf numFmtId="164" fontId="80" fillId="23" borderId="33" pivotButton="0" quotePrefix="0" xfId="1"/>
    <xf numFmtId="164" fontId="75" fillId="16" borderId="23" applyAlignment="1" pivotButton="0" quotePrefix="0" xfId="1">
      <alignment horizontal="left"/>
    </xf>
    <xf numFmtId="164" fontId="75" fillId="16" borderId="47" applyAlignment="1" pivotButton="0" quotePrefix="0" xfId="1">
      <alignment horizontal="left"/>
    </xf>
    <xf numFmtId="10" fontId="29" fillId="0" borderId="34" applyAlignment="1" pivotButton="0" quotePrefix="0" xfId="2">
      <alignment horizontal="center"/>
    </xf>
    <xf numFmtId="164" fontId="29" fillId="0" borderId="34" pivotButton="0" quotePrefix="0" xfId="1"/>
    <xf numFmtId="164" fontId="29" fillId="0" borderId="35" pivotButton="0" quotePrefix="0" xfId="1"/>
    <xf numFmtId="164" fontId="41" fillId="0" borderId="9" applyAlignment="1" pivotButton="0" quotePrefix="0" xfId="1">
      <alignment horizontal="left" vertical="top"/>
    </xf>
    <xf numFmtId="164" fontId="80" fillId="21" borderId="8" applyAlignment="1" pivotButton="0" quotePrefix="0" xfId="1">
      <alignment horizontal="left"/>
    </xf>
    <xf numFmtId="164" fontId="80" fillId="21" borderId="46" pivotButton="0" quotePrefix="0" xfId="1"/>
    <xf numFmtId="164" fontId="80" fillId="21" borderId="8" applyAlignment="1" pivotButton="0" quotePrefix="0" xfId="1">
      <alignment horizontal="center" vertical="center" wrapText="1"/>
    </xf>
    <xf numFmtId="164" fontId="80" fillId="21" borderId="46" applyAlignment="1" pivotButton="0" quotePrefix="0" xfId="1">
      <alignment horizontal="center" vertical="center" wrapText="1"/>
    </xf>
    <xf numFmtId="164" fontId="80" fillId="21" borderId="32" applyAlignment="1" pivotButton="0" quotePrefix="0" xfId="1">
      <alignment horizontal="center" vertical="center" wrapText="1"/>
    </xf>
    <xf numFmtId="164" fontId="80" fillId="21" borderId="33" applyAlignment="1" pivotButton="0" quotePrefix="0" xfId="1">
      <alignment horizontal="center" vertical="center" wrapText="1"/>
    </xf>
    <xf numFmtId="164" fontId="80" fillId="21" borderId="8" applyAlignment="1" pivotButton="0" quotePrefix="0" xfId="1">
      <alignment horizontal="center" vertical="center"/>
    </xf>
    <xf numFmtId="164" fontId="80" fillId="21" borderId="4" applyAlignment="1" pivotButton="0" quotePrefix="0" xfId="1">
      <alignment horizontal="center" vertical="center" wrapText="1"/>
    </xf>
    <xf numFmtId="164" fontId="80" fillId="21" borderId="1" applyAlignment="1" pivotButton="0" quotePrefix="0" xfId="1">
      <alignment horizontal="left"/>
    </xf>
    <xf numFmtId="164" fontId="80" fillId="21" borderId="8" pivotButton="0" quotePrefix="0" xfId="1"/>
    <xf numFmtId="164" fontId="75" fillId="21" borderId="4" applyAlignment="1" pivotButton="0" quotePrefix="0" xfId="1">
      <alignment horizontal="center" vertical="center"/>
    </xf>
    <xf numFmtId="49" fontId="29" fillId="0" borderId="34" applyAlignment="1" pivotButton="0" quotePrefix="0" xfId="0">
      <alignment vertical="top"/>
    </xf>
    <xf numFmtId="164" fontId="75" fillId="21" borderId="4" applyAlignment="1" pivotButton="0" quotePrefix="0" xfId="1">
      <alignment horizontal="center" vertical="center" wrapText="1"/>
    </xf>
    <xf numFmtId="164" fontId="75" fillId="0" borderId="34" applyAlignment="1" pivotButton="0" quotePrefix="0" xfId="1">
      <alignment horizontal="center"/>
    </xf>
    <xf numFmtId="164" fontId="77" fillId="0" borderId="34" applyAlignment="1" pivotButton="0" quotePrefix="0" xfId="1">
      <alignment horizontal="left"/>
    </xf>
    <xf numFmtId="164" fontId="77" fillId="0" borderId="8" applyAlignment="1" pivotButton="0" quotePrefix="0" xfId="1">
      <alignment horizontal="center"/>
    </xf>
    <xf numFmtId="164" fontId="77" fillId="0" borderId="8" applyAlignment="1" pivotButton="0" quotePrefix="0" xfId="1">
      <alignment horizontal="left"/>
    </xf>
    <xf numFmtId="164" fontId="77" fillId="0" borderId="35" applyAlignment="1" pivotButton="0" quotePrefix="0" xfId="1">
      <alignment horizontal="center"/>
    </xf>
    <xf numFmtId="164" fontId="77" fillId="0" borderId="23" applyAlignment="1" pivotButton="0" quotePrefix="0" xfId="1">
      <alignment horizontal="center"/>
    </xf>
    <xf numFmtId="164" fontId="77" fillId="0" borderId="53" applyAlignment="1" pivotButton="0" quotePrefix="0" xfId="1">
      <alignment horizontal="center"/>
    </xf>
    <xf numFmtId="43" fontId="29" fillId="0" borderId="44" pivotButton="0" quotePrefix="0" xfId="1"/>
    <xf numFmtId="164" fontId="77" fillId="0" borderId="48" applyAlignment="1" pivotButton="0" quotePrefix="0" xfId="1">
      <alignment horizontal="center"/>
    </xf>
    <xf numFmtId="164" fontId="77" fillId="0" borderId="22" applyAlignment="1" pivotButton="0" quotePrefix="0" xfId="1">
      <alignment horizontal="center"/>
    </xf>
    <xf numFmtId="164" fontId="77" fillId="0" borderId="49" applyAlignment="1" pivotButton="0" quotePrefix="0" xfId="1">
      <alignment horizontal="center"/>
    </xf>
    <xf numFmtId="43" fontId="32" fillId="0" borderId="8" pivotButton="0" quotePrefix="0" xfId="1"/>
    <xf numFmtId="164" fontId="41" fillId="21" borderId="3" applyAlignment="1" pivotButton="0" quotePrefix="0" xfId="1">
      <alignment horizontal="right"/>
    </xf>
    <xf numFmtId="167" fontId="29" fillId="0" borderId="34" pivotButton="0" quotePrefix="0" xfId="1"/>
    <xf numFmtId="167" fontId="38" fillId="0" borderId="9" pivotButton="0" quotePrefix="0" xfId="1"/>
    <xf numFmtId="0" fontId="3" fillId="0" borderId="0" pivotButton="0" quotePrefix="0" xfId="0"/>
    <xf numFmtId="0" fontId="2" fillId="0" borderId="0" pivotButton="0" quotePrefix="0" xfId="0"/>
    <xf numFmtId="164" fontId="29" fillId="0" borderId="0" pivotButton="0" quotePrefix="0" xfId="1"/>
    <xf numFmtId="0" fontId="60" fillId="0" borderId="9" pivotButton="0" quotePrefix="0" xfId="0"/>
    <xf numFmtId="0" fontId="83" fillId="0" borderId="0" pivotButton="0" quotePrefix="0" xfId="0"/>
    <xf numFmtId="164" fontId="94" fillId="0" borderId="22" applyAlignment="1" pivotButton="0" quotePrefix="0" xfId="1">
      <alignment horizontal="left" wrapText="1"/>
    </xf>
    <xf numFmtId="2" fontId="87" fillId="0" borderId="20" applyAlignment="1" pivotButton="0" quotePrefix="0" xfId="1">
      <alignment horizontal="center"/>
    </xf>
    <xf numFmtId="49" fontId="68" fillId="0" borderId="0" applyAlignment="1" pivotButton="0" quotePrefix="0" xfId="1">
      <alignment horizontal="left"/>
    </xf>
    <xf numFmtId="164" fontId="60" fillId="0" borderId="9" applyAlignment="1" pivotButton="0" quotePrefix="0" xfId="1">
      <alignment horizontal="left"/>
    </xf>
    <xf numFmtId="49" fontId="29" fillId="0" borderId="9" applyAlignment="1" pivotButton="0" quotePrefix="0" xfId="1">
      <alignment horizontal="left"/>
    </xf>
    <xf numFmtId="167" fontId="68" fillId="0" borderId="9" applyAlignment="1" pivotButton="0" quotePrefix="0" xfId="1">
      <alignment horizontal="left"/>
    </xf>
    <xf numFmtId="164" fontId="60" fillId="0" borderId="13" applyAlignment="1" pivotButton="0" quotePrefix="0" xfId="1">
      <alignment horizontal="left"/>
    </xf>
    <xf numFmtId="0" fontId="29" fillId="0" borderId="0" applyAlignment="1" pivotButton="0" quotePrefix="0" xfId="0">
      <alignment horizontal="left"/>
    </xf>
    <xf numFmtId="164" fontId="95" fillId="0" borderId="0" applyAlignment="1" pivotButton="0" quotePrefix="0" xfId="1">
      <alignment horizontal="left"/>
    </xf>
    <xf numFmtId="49" fontId="96" fillId="0" borderId="9" applyAlignment="1" pivotButton="0" quotePrefix="0" xfId="0">
      <alignment horizontal="left" vertical="center"/>
    </xf>
    <xf numFmtId="49" fontId="96" fillId="0" borderId="0" applyAlignment="1" pivotButton="0" quotePrefix="0" xfId="0">
      <alignment horizontal="left" vertical="center"/>
    </xf>
    <xf numFmtId="0" fontId="96" fillId="0" borderId="9" applyAlignment="1" pivotButton="0" quotePrefix="0" xfId="0">
      <alignment horizontal="left" vertical="center"/>
    </xf>
    <xf numFmtId="0" fontId="96" fillId="0" borderId="9" applyAlignment="1" pivotButton="0" quotePrefix="0" xfId="0">
      <alignment horizontal="left" vertical="center" wrapText="1"/>
    </xf>
    <xf numFmtId="164" fontId="73" fillId="0" borderId="9" applyAlignment="1" pivotButton="0" quotePrefix="0" xfId="1">
      <alignment horizontal="left"/>
    </xf>
    <xf numFmtId="43" fontId="60" fillId="0" borderId="0" applyAlignment="1" pivotButton="0" quotePrefix="0" xfId="0">
      <alignment horizontal="left"/>
    </xf>
    <xf numFmtId="49" fontId="77" fillId="0" borderId="9" applyAlignment="1" pivotButton="0" quotePrefix="0" xfId="1">
      <alignment horizontal="left"/>
    </xf>
    <xf numFmtId="49" fontId="29" fillId="0" borderId="0" applyAlignment="1" pivotButton="0" quotePrefix="0" xfId="0">
      <alignment horizontal="left"/>
    </xf>
    <xf numFmtId="0" fontId="29" fillId="0" borderId="9" applyAlignment="1" pivotButton="0" quotePrefix="0" xfId="0">
      <alignment horizontal="left"/>
    </xf>
    <xf numFmtId="49" fontId="77" fillId="0" borderId="6" applyAlignment="1" pivotButton="0" quotePrefix="0" xfId="1">
      <alignment horizontal="left"/>
    </xf>
    <xf numFmtId="49" fontId="77" fillId="0" borderId="0" applyAlignment="1" pivotButton="0" quotePrefix="0" xfId="1">
      <alignment horizontal="left"/>
    </xf>
    <xf numFmtId="164" fontId="73" fillId="0" borderId="8" applyAlignment="1" pivotButton="0" quotePrefix="0" xfId="1">
      <alignment horizontal="left"/>
    </xf>
    <xf numFmtId="0" fontId="80" fillId="0" borderId="4" applyAlignment="1" pivotButton="0" quotePrefix="0" xfId="0">
      <alignment horizontal="left" vertical="center" wrapText="1"/>
    </xf>
    <xf numFmtId="0" fontId="80" fillId="0" borderId="6" applyAlignment="1" pivotButton="0" quotePrefix="0" xfId="0">
      <alignment horizontal="left" vertical="center" wrapText="1"/>
    </xf>
    <xf numFmtId="164" fontId="68" fillId="0" borderId="9" applyAlignment="1" pivotButton="0" quotePrefix="0" xfId="1">
      <alignment horizontal="left"/>
    </xf>
    <xf numFmtId="17" fontId="29" fillId="0" borderId="0" pivotButton="0" quotePrefix="0" xfId="0"/>
    <xf numFmtId="174" fontId="41" fillId="0" borderId="0" pivotButton="0" quotePrefix="0" xfId="0"/>
    <xf numFmtId="174" fontId="29" fillId="0" borderId="34" pivotButton="0" quotePrefix="0" xfId="0"/>
    <xf numFmtId="1" fontId="29" fillId="0" borderId="0" pivotButton="0" quotePrefix="0" xfId="0"/>
    <xf numFmtId="0" fontId="29" fillId="19" borderId="34" pivotButton="0" quotePrefix="0" xfId="0"/>
    <xf numFmtId="0" fontId="78" fillId="0" borderId="34" pivotButton="0" quotePrefix="0" xfId="0"/>
    <xf numFmtId="167" fontId="29" fillId="0" borderId="22" pivotButton="0" quotePrefix="0" xfId="1"/>
    <xf numFmtId="0" fontId="97" fillId="0" borderId="0" pivotButton="0" quotePrefix="0" xfId="0"/>
    <xf numFmtId="168" fontId="68" fillId="0" borderId="9" pivotButton="0" quotePrefix="0" xfId="1"/>
    <xf numFmtId="49" fontId="68" fillId="0" borderId="13" pivotButton="0" quotePrefix="0" xfId="1"/>
    <xf numFmtId="164" fontId="35" fillId="0" borderId="0" applyAlignment="1" pivotButton="0" quotePrefix="0" xfId="1">
      <alignment horizontal="left"/>
    </xf>
    <xf numFmtId="164" fontId="35" fillId="0" borderId="6" applyAlignment="1" pivotButton="0" quotePrefix="0" xfId="1">
      <alignment horizontal="left"/>
    </xf>
    <xf numFmtId="164" fontId="77" fillId="0" borderId="12" applyAlignment="1" pivotButton="0" quotePrefix="0" xfId="1">
      <alignment horizontal="left" wrapText="1"/>
    </xf>
    <xf numFmtId="0" fontId="1" fillId="0" borderId="0" pivotButton="0" quotePrefix="0" xfId="0"/>
    <xf numFmtId="164" fontId="29" fillId="0" borderId="54" pivotButton="0" quotePrefix="0" xfId="1"/>
    <xf numFmtId="17" fontId="29" fillId="0" borderId="34" pivotButton="0" quotePrefix="0" xfId="0"/>
    <xf numFmtId="164" fontId="75" fillId="21" borderId="4" applyAlignment="1" pivotButton="0" quotePrefix="0" xfId="1">
      <alignment horizontal="center" vertical="center"/>
    </xf>
    <xf numFmtId="164" fontId="75" fillId="21" borderId="6" applyAlignment="1" pivotButton="0" quotePrefix="0" xfId="1">
      <alignment horizontal="center" vertical="center"/>
    </xf>
    <xf numFmtId="164" fontId="75" fillId="0" borderId="10" applyAlignment="1" pivotButton="0" quotePrefix="0" xfId="1">
      <alignment horizontal="center"/>
    </xf>
    <xf numFmtId="164" fontId="75" fillId="0" borderId="5" applyAlignment="1" pivotButton="0" quotePrefix="0" xfId="1">
      <alignment horizontal="center"/>
    </xf>
    <xf numFmtId="0" fontId="92" fillId="13" borderId="34" applyAlignment="1" pivotButton="0" quotePrefix="0" xfId="0">
      <alignment horizontal="center"/>
    </xf>
    <xf numFmtId="164" fontId="80" fillId="21" borderId="1" applyAlignment="1" pivotButton="0" quotePrefix="0" xfId="1">
      <alignment horizontal="center"/>
    </xf>
    <xf numFmtId="164" fontId="80" fillId="21" borderId="2" applyAlignment="1" pivotButton="0" quotePrefix="0" xfId="1">
      <alignment horizontal="center"/>
    </xf>
    <xf numFmtId="164" fontId="80" fillId="21" borderId="3" applyAlignment="1" pivotButton="0" quotePrefix="0" xfId="1">
      <alignment horizontal="center"/>
    </xf>
    <xf numFmtId="164" fontId="75" fillId="0" borderId="0" applyAlignment="1" pivotButton="0" quotePrefix="0" xfId="1">
      <alignment horizontal="center"/>
    </xf>
    <xf numFmtId="164" fontId="29" fillId="0" borderId="0" applyAlignment="1" pivotButton="0" quotePrefix="0" xfId="1">
      <alignment horizontal="center"/>
    </xf>
    <xf numFmtId="10" fontId="29" fillId="0" borderId="12" applyAlignment="1" pivotButton="0" quotePrefix="0" xfId="2">
      <alignment horizontal="center"/>
    </xf>
    <xf numFmtId="10" fontId="29" fillId="0" borderId="13" applyAlignment="1" pivotButton="0" quotePrefix="0" xfId="2">
      <alignment horizontal="center"/>
    </xf>
    <xf numFmtId="164" fontId="75" fillId="15" borderId="14" applyAlignment="1" pivotButton="0" quotePrefix="0" xfId="1">
      <alignment horizontal="center"/>
    </xf>
    <xf numFmtId="164" fontId="75" fillId="15" borderId="7" applyAlignment="1" pivotButton="0" quotePrefix="0" xfId="1">
      <alignment horizontal="center"/>
    </xf>
    <xf numFmtId="0" fontId="29" fillId="0" borderId="1" applyAlignment="1" pivotButton="0" quotePrefix="0" xfId="0">
      <alignment horizontal="center"/>
    </xf>
    <xf numFmtId="0" fontId="29" fillId="0" borderId="3" applyAlignment="1" pivotButton="0" quotePrefix="0" xfId="0">
      <alignment horizontal="center"/>
    </xf>
    <xf numFmtId="164" fontId="75" fillId="21" borderId="10" applyAlignment="1" pivotButton="0" quotePrefix="0" xfId="1">
      <alignment horizontal="center" vertical="center"/>
    </xf>
    <xf numFmtId="164" fontId="75" fillId="21" borderId="5" applyAlignment="1" pivotButton="0" quotePrefix="0" xfId="1">
      <alignment horizontal="center" vertical="center"/>
    </xf>
    <xf numFmtId="164" fontId="75" fillId="21" borderId="14" applyAlignment="1" pivotButton="0" quotePrefix="0" xfId="1">
      <alignment horizontal="center" vertical="center"/>
    </xf>
    <xf numFmtId="164" fontId="75" fillId="21" borderId="7" applyAlignment="1" pivotButton="0" quotePrefix="0" xfId="1">
      <alignment horizontal="center" vertical="center"/>
    </xf>
    <xf numFmtId="0" fontId="76" fillId="0" borderId="10" applyAlignment="1" pivotButton="0" quotePrefix="0" xfId="0">
      <alignment horizontal="center" vertical="center"/>
    </xf>
    <xf numFmtId="0" fontId="76" fillId="0" borderId="11" applyAlignment="1" pivotButton="0" quotePrefix="0" xfId="0">
      <alignment horizontal="center" vertical="center"/>
    </xf>
    <xf numFmtId="0" fontId="76" fillId="0" borderId="5" applyAlignment="1" pivotButton="0" quotePrefix="0" xfId="0">
      <alignment horizontal="center" vertical="center"/>
    </xf>
    <xf numFmtId="0" fontId="76" fillId="0" borderId="12" applyAlignment="1" pivotButton="0" quotePrefix="0" xfId="0">
      <alignment horizontal="center" vertical="center"/>
    </xf>
    <xf numFmtId="0" fontId="76" fillId="0" borderId="0" applyAlignment="1" pivotButton="0" quotePrefix="0" xfId="0">
      <alignment horizontal="center" vertical="center"/>
    </xf>
    <xf numFmtId="0" fontId="76" fillId="0" borderId="13" applyAlignment="1" pivotButton="0" quotePrefix="0" xfId="0">
      <alignment horizontal="center" vertical="center"/>
    </xf>
    <xf numFmtId="0" fontId="76" fillId="0" borderId="14" applyAlignment="1" pivotButton="0" quotePrefix="0" xfId="0">
      <alignment horizontal="center" vertical="center"/>
    </xf>
    <xf numFmtId="0" fontId="76" fillId="0" borderId="15" applyAlignment="1" pivotButton="0" quotePrefix="0" xfId="0">
      <alignment horizontal="center" vertical="center"/>
    </xf>
    <xf numFmtId="0" fontId="76" fillId="0" borderId="7" applyAlignment="1" pivotButton="0" quotePrefix="0" xfId="0">
      <alignment horizontal="center" vertical="center"/>
    </xf>
    <xf numFmtId="164" fontId="30" fillId="0" borderId="1" applyAlignment="1" pivotButton="0" quotePrefix="0" xfId="1">
      <alignment horizontal="center"/>
    </xf>
    <xf numFmtId="164" fontId="30" fillId="0" borderId="2" applyAlignment="1" pivotButton="0" quotePrefix="0" xfId="1">
      <alignment horizontal="center"/>
    </xf>
    <xf numFmtId="164" fontId="30" fillId="0" borderId="3" applyAlignment="1" pivotButton="0" quotePrefix="0" xfId="1">
      <alignment horizontal="center"/>
    </xf>
    <xf numFmtId="164" fontId="39" fillId="0" borderId="0" applyAlignment="1" pivotButton="0" quotePrefix="0" xfId="1">
      <alignment horizontal="left"/>
    </xf>
    <xf numFmtId="0" fontId="40" fillId="0" borderId="36" applyAlignment="1" pivotButton="0" quotePrefix="0" xfId="0">
      <alignment horizontal="center" vertical="center"/>
    </xf>
    <xf numFmtId="0" fontId="40" fillId="0" borderId="28" applyAlignment="1" pivotButton="0" quotePrefix="0" xfId="0">
      <alignment horizontal="center" vertical="center"/>
    </xf>
    <xf numFmtId="0" fontId="40" fillId="0" borderId="37" applyAlignment="1" pivotButton="0" quotePrefix="0" xfId="0">
      <alignment horizontal="center" vertical="center"/>
    </xf>
    <xf numFmtId="0" fontId="40" fillId="0" borderId="36" applyAlignment="1" pivotButton="0" quotePrefix="0" xfId="0">
      <alignment horizontal="center" vertical="center" wrapText="1"/>
    </xf>
    <xf numFmtId="0" fontId="40" fillId="0" borderId="37" applyAlignment="1" pivotButton="0" quotePrefix="0" xfId="0">
      <alignment horizontal="center" vertical="center" wrapText="1"/>
    </xf>
    <xf numFmtId="0" fontId="40" fillId="0" borderId="4" applyAlignment="1" pivotButton="0" quotePrefix="0" xfId="0">
      <alignment horizontal="center" vertical="center" wrapText="1"/>
    </xf>
    <xf numFmtId="0" fontId="40" fillId="0" borderId="6" applyAlignment="1" pivotButton="0" quotePrefix="0" xfId="0">
      <alignment horizontal="center" vertical="center" wrapText="1"/>
    </xf>
    <xf numFmtId="0" fontId="40" fillId="0" borderId="4" applyAlignment="1" pivotButton="0" quotePrefix="0" xfId="0">
      <alignment horizontal="center" vertical="center"/>
    </xf>
    <xf numFmtId="0" fontId="40" fillId="0" borderId="9" applyAlignment="1" pivotButton="0" quotePrefix="0" xfId="0">
      <alignment horizontal="center" vertical="center"/>
    </xf>
    <xf numFmtId="0" fontId="40" fillId="0" borderId="28" applyAlignment="1" pivotButton="0" quotePrefix="0" xfId="0">
      <alignment horizontal="center" vertical="center" wrapText="1"/>
    </xf>
    <xf numFmtId="0" fontId="40" fillId="0" borderId="9" applyAlignment="1" pivotButton="0" quotePrefix="0" xfId="0">
      <alignment horizontal="center" vertical="center" wrapText="1"/>
    </xf>
    <xf numFmtId="0" fontId="40" fillId="0" borderId="44" applyAlignment="1" pivotButton="0" quotePrefix="0" xfId="0">
      <alignment horizontal="center" vertical="center" wrapText="1"/>
    </xf>
    <xf numFmtId="164" fontId="75" fillId="0" borderId="14" applyAlignment="1" pivotButton="0" quotePrefix="0" xfId="1">
      <alignment horizontal="center"/>
    </xf>
    <xf numFmtId="164" fontId="75" fillId="0" borderId="7" applyAlignment="1" pivotButton="0" quotePrefix="0" xfId="1">
      <alignment horizontal="center"/>
    </xf>
    <xf numFmtId="0" fontId="29" fillId="21" borderId="1" applyAlignment="1" pivotButton="0" quotePrefix="0" xfId="0">
      <alignment horizontal="center"/>
    </xf>
    <xf numFmtId="0" fontId="29" fillId="21" borderId="3" applyAlignment="1" pivotButton="0" quotePrefix="0" xfId="0">
      <alignment horizontal="center"/>
    </xf>
    <xf numFmtId="164" fontId="29" fillId="0" borderId="2" applyAlignment="1" pivotButton="0" quotePrefix="0" xfId="1">
      <alignment horizontal="center"/>
    </xf>
    <xf numFmtId="0" fontId="85" fillId="0" borderId="1" applyAlignment="1" pivotButton="0" quotePrefix="0" xfId="0">
      <alignment horizontal="center"/>
    </xf>
    <xf numFmtId="0" fontId="85" fillId="0" borderId="2" applyAlignment="1" pivotButton="0" quotePrefix="0" xfId="0">
      <alignment horizontal="center"/>
    </xf>
    <xf numFmtId="0" fontId="85" fillId="0" borderId="3" applyAlignment="1" pivotButton="0" quotePrefix="0" xfId="0">
      <alignment horizontal="center"/>
    </xf>
    <xf numFmtId="164" fontId="75" fillId="21" borderId="1" applyAlignment="1" pivotButton="0" quotePrefix="0" xfId="1">
      <alignment horizontal="center"/>
    </xf>
    <xf numFmtId="164" fontId="75" fillId="21" borderId="2" applyAlignment="1" pivotButton="0" quotePrefix="0" xfId="1">
      <alignment horizontal="center"/>
    </xf>
    <xf numFmtId="164" fontId="75" fillId="21" borderId="3" applyAlignment="1" pivotButton="0" quotePrefix="0" xfId="1">
      <alignment horizontal="center"/>
    </xf>
    <xf numFmtId="0" fontId="76" fillId="0" borderId="10" applyAlignment="1" pivotButton="0" quotePrefix="0" xfId="0">
      <alignment horizontal="center"/>
    </xf>
    <xf numFmtId="0" fontId="76" fillId="0" borderId="11" applyAlignment="1" pivotButton="0" quotePrefix="0" xfId="0">
      <alignment horizontal="center"/>
    </xf>
    <xf numFmtId="0" fontId="76" fillId="0" borderId="5" applyAlignment="1" pivotButton="0" quotePrefix="0" xfId="0">
      <alignment horizontal="center"/>
    </xf>
    <xf numFmtId="0" fontId="76" fillId="0" borderId="12" applyAlignment="1" pivotButton="0" quotePrefix="0" xfId="0">
      <alignment horizontal="center"/>
    </xf>
    <xf numFmtId="0" fontId="76" fillId="0" borderId="0" applyAlignment="1" pivotButton="0" quotePrefix="0" xfId="0">
      <alignment horizontal="center"/>
    </xf>
    <xf numFmtId="0" fontId="76" fillId="0" borderId="13" applyAlignment="1" pivotButton="0" quotePrefix="0" xfId="0">
      <alignment horizontal="center"/>
    </xf>
    <xf numFmtId="0" fontId="76" fillId="0" borderId="14" applyAlignment="1" pivotButton="0" quotePrefix="0" xfId="0">
      <alignment horizontal="center"/>
    </xf>
    <xf numFmtId="0" fontId="76" fillId="0" borderId="15" applyAlignment="1" pivotButton="0" quotePrefix="0" xfId="0">
      <alignment horizontal="center"/>
    </xf>
    <xf numFmtId="0" fontId="76" fillId="0" borderId="7" applyAlignment="1" pivotButton="0" quotePrefix="0" xfId="0">
      <alignment horizontal="center"/>
    </xf>
    <xf numFmtId="164" fontId="74" fillId="0" borderId="1" applyAlignment="1" pivotButton="0" quotePrefix="0" xfId="1">
      <alignment horizontal="center"/>
    </xf>
    <xf numFmtId="164" fontId="74" fillId="0" borderId="2" applyAlignment="1" pivotButton="0" quotePrefix="0" xfId="1">
      <alignment horizontal="center"/>
    </xf>
    <xf numFmtId="164" fontId="74" fillId="0" borderId="3" applyAlignment="1" pivotButton="0" quotePrefix="0" xfId="1">
      <alignment horizontal="center"/>
    </xf>
    <xf numFmtId="164" fontId="74" fillId="21" borderId="1" applyAlignment="1" pivotButton="0" quotePrefix="0" xfId="1">
      <alignment horizontal="center"/>
    </xf>
    <xf numFmtId="164" fontId="74" fillId="21" borderId="2" applyAlignment="1" pivotButton="0" quotePrefix="0" xfId="1">
      <alignment horizontal="center"/>
    </xf>
    <xf numFmtId="164" fontId="74" fillId="21" borderId="3" applyAlignment="1" pivotButton="0" quotePrefix="0" xfId="1">
      <alignment horizontal="center"/>
    </xf>
    <xf numFmtId="9" fontId="75" fillId="21" borderId="4" applyAlignment="1" pivotButton="0" quotePrefix="0" xfId="1">
      <alignment horizontal="center" vertical="center"/>
    </xf>
    <xf numFmtId="9" fontId="75" fillId="21" borderId="6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/>
    </xf>
    <xf numFmtId="164" fontId="74" fillId="21" borderId="31" applyAlignment="1" pivotButton="0" quotePrefix="0" xfId="1">
      <alignment horizontal="center"/>
    </xf>
    <xf numFmtId="164" fontId="74" fillId="21" borderId="32" applyAlignment="1" pivotButton="0" quotePrefix="0" xfId="1">
      <alignment horizontal="center"/>
    </xf>
    <xf numFmtId="164" fontId="74" fillId="21" borderId="33" applyAlignment="1" pivotButton="0" quotePrefix="0" xfId="1">
      <alignment horizontal="center"/>
    </xf>
    <xf numFmtId="164" fontId="75" fillId="21" borderId="14" applyAlignment="1" pivotButton="0" quotePrefix="0" xfId="1">
      <alignment horizontal="center"/>
    </xf>
    <xf numFmtId="164" fontId="75" fillId="21" borderId="15" applyAlignment="1" pivotButton="0" quotePrefix="0" xfId="1">
      <alignment horizontal="center"/>
    </xf>
    <xf numFmtId="164" fontId="75" fillId="21" borderId="7" applyAlignment="1" pivotButton="0" quotePrefix="0" xfId="1">
      <alignment horizontal="center"/>
    </xf>
    <xf numFmtId="164" fontId="75" fillId="0" borderId="1" applyAlignment="1" pivotButton="0" quotePrefix="0" xfId="1">
      <alignment horizontal="center" vertical="center"/>
    </xf>
    <xf numFmtId="164" fontId="75" fillId="0" borderId="2" applyAlignment="1" pivotButton="0" quotePrefix="0" xfId="1">
      <alignment horizontal="center" vertical="center"/>
    </xf>
    <xf numFmtId="0" fontId="33" fillId="0" borderId="10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33" fillId="0" borderId="5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3" fillId="0" borderId="13" applyAlignment="1" pivotButton="0" quotePrefix="0" xfId="0">
      <alignment horizontal="center" vertical="center"/>
    </xf>
    <xf numFmtId="0" fontId="33" fillId="0" borderId="14" applyAlignment="1" pivotButton="0" quotePrefix="0" xfId="0">
      <alignment horizontal="center" vertical="center"/>
    </xf>
    <xf numFmtId="0" fontId="33" fillId="0" borderId="15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164" fontId="39" fillId="0" borderId="15" applyAlignment="1" pivotButton="0" quotePrefix="0" xfId="1">
      <alignment horizontal="left"/>
    </xf>
    <xf numFmtId="0" fontId="40" fillId="0" borderId="6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/>
    </xf>
    <xf numFmtId="0" fontId="41" fillId="0" borderId="3" applyAlignment="1" pivotButton="0" quotePrefix="0" xfId="0">
      <alignment horizontal="center"/>
    </xf>
    <xf numFmtId="164" fontId="75" fillId="0" borderId="0" applyAlignment="1" pivotButton="0" quotePrefix="0" xfId="1">
      <alignment horizontal="center"/>
    </xf>
    <xf numFmtId="0" fontId="40" fillId="0" borderId="5" applyAlignment="1" pivotButton="0" quotePrefix="0" xfId="0">
      <alignment horizontal="center" vertical="center"/>
    </xf>
    <xf numFmtId="0" fontId="40" fillId="0" borderId="7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/>
    </xf>
    <xf numFmtId="0" fontId="78" fillId="0" borderId="38" applyAlignment="1" pivotButton="0" quotePrefix="0" xfId="0">
      <alignment horizontal="center"/>
    </xf>
    <xf numFmtId="0" fontId="78" fillId="0" borderId="39" applyAlignment="1" pivotButton="0" quotePrefix="0" xfId="0">
      <alignment horizontal="center"/>
    </xf>
    <xf numFmtId="0" fontId="78" fillId="0" borderId="40" applyAlignment="1" pivotButton="0" quotePrefix="0" xfId="0">
      <alignment horizontal="center"/>
    </xf>
    <xf numFmtId="0" fontId="80" fillId="0" borderId="4" applyAlignment="1" pivotButton="0" quotePrefix="0" xfId="0">
      <alignment horizontal="left" vertical="center" wrapText="1"/>
    </xf>
    <xf numFmtId="0" fontId="80" fillId="0" borderId="6" applyAlignment="1" pivotButton="0" quotePrefix="0" xfId="0">
      <alignment horizontal="left" vertical="center" wrapText="1"/>
    </xf>
    <xf numFmtId="0" fontId="29" fillId="0" borderId="1" applyAlignment="1" pivotButton="0" quotePrefix="0" xfId="0">
      <alignment horizontal="left"/>
    </xf>
    <xf numFmtId="0" fontId="29" fillId="0" borderId="2" applyAlignment="1" pivotButton="0" quotePrefix="0" xfId="0">
      <alignment horizontal="left"/>
    </xf>
    <xf numFmtId="164" fontId="93" fillId="0" borderId="1" applyAlignment="1" pivotButton="0" quotePrefix="0" xfId="1">
      <alignment horizontal="center"/>
    </xf>
    <xf numFmtId="164" fontId="93" fillId="0" borderId="2" applyAlignment="1" pivotButton="0" quotePrefix="0" xfId="1">
      <alignment horizontal="center"/>
    </xf>
    <xf numFmtId="164" fontId="93" fillId="0" borderId="3" applyAlignment="1" pivotButton="0" quotePrefix="0" xfId="1">
      <alignment horizontal="center"/>
    </xf>
    <xf numFmtId="164" fontId="95" fillId="0" borderId="15" applyAlignment="1" pivotButton="0" quotePrefix="0" xfId="1">
      <alignment horizontal="left"/>
    </xf>
    <xf numFmtId="0" fontId="80" fillId="0" borderId="4" applyAlignment="1" pivotButton="0" quotePrefix="0" xfId="0">
      <alignment horizontal="left" vertical="center"/>
    </xf>
    <xf numFmtId="0" fontId="80" fillId="0" borderId="6" applyAlignment="1" pivotButton="0" quotePrefix="0" xfId="0">
      <alignment horizontal="left" vertical="center"/>
    </xf>
    <xf numFmtId="0" fontId="80" fillId="0" borderId="11" applyAlignment="1" pivotButton="0" quotePrefix="0" xfId="0">
      <alignment horizontal="left" vertical="center"/>
    </xf>
    <xf numFmtId="0" fontId="80" fillId="0" borderId="15" applyAlignment="1" pivotButton="0" quotePrefix="0" xfId="0">
      <alignment horizontal="left" vertical="center"/>
    </xf>
    <xf numFmtId="164" fontId="34" fillId="0" borderId="1" applyAlignment="1" pivotButton="0" quotePrefix="0" xfId="1">
      <alignment horizontal="center"/>
    </xf>
    <xf numFmtId="164" fontId="34" fillId="0" borderId="2" applyAlignment="1" pivotButton="0" quotePrefix="0" xfId="1">
      <alignment horizontal="center"/>
    </xf>
    <xf numFmtId="164" fontId="34" fillId="0" borderId="3" applyAlignment="1" pivotButton="0" quotePrefix="0" xfId="1">
      <alignment horizontal="center"/>
    </xf>
    <xf numFmtId="164" fontId="34" fillId="0" borderId="0" applyAlignment="1" pivotButton="0" quotePrefix="0" xfId="1">
      <alignment horizontal="center"/>
    </xf>
    <xf numFmtId="0" fontId="25" fillId="0" borderId="12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0" fillId="19" borderId="1" applyAlignment="1" pivotButton="0" quotePrefix="0" xfId="0">
      <alignment horizontal="center"/>
    </xf>
    <xf numFmtId="0" fontId="30" fillId="19" borderId="2" applyAlignment="1" pivotButton="0" quotePrefix="0" xfId="0">
      <alignment horizontal="center"/>
    </xf>
    <xf numFmtId="0" fontId="30" fillId="19" borderId="3" applyAlignment="1" pivotButton="0" quotePrefix="0" xfId="0">
      <alignment horizontal="center"/>
    </xf>
    <xf numFmtId="17" fontId="31" fillId="17" borderId="1" applyAlignment="1" pivotButton="0" quotePrefix="0" xfId="0">
      <alignment horizontal="center"/>
    </xf>
    <xf numFmtId="0" fontId="31" fillId="17" borderId="2" applyAlignment="1" pivotButton="0" quotePrefix="0" xfId="0">
      <alignment horizontal="center"/>
    </xf>
    <xf numFmtId="0" fontId="31" fillId="17" borderId="3" applyAlignment="1" pivotButton="0" quotePrefix="0" xfId="0">
      <alignment horizontal="center"/>
    </xf>
    <xf numFmtId="0" fontId="0" fillId="17" borderId="4" applyAlignment="1" pivotButton="0" quotePrefix="0" xfId="0">
      <alignment horizontal="center" vertical="center" wrapText="1"/>
    </xf>
    <xf numFmtId="0" fontId="0" fillId="17" borderId="6" applyAlignment="1" pivotButton="0" quotePrefix="0" xfId="0">
      <alignment horizontal="center" vertical="center" wrapText="1"/>
    </xf>
    <xf numFmtId="0" fontId="63" fillId="17" borderId="5" applyAlignment="1" pivotButton="0" quotePrefix="0" xfId="0">
      <alignment horizontal="center" vertical="center"/>
    </xf>
    <xf numFmtId="0" fontId="63" fillId="17" borderId="7" applyAlignment="1" pivotButton="0" quotePrefix="0" xfId="0">
      <alignment horizontal="center" vertical="center"/>
    </xf>
    <xf numFmtId="0" fontId="0" fillId="17" borderId="4" applyAlignment="1" pivotButton="0" quotePrefix="0" xfId="0">
      <alignment horizontal="center" vertical="center"/>
    </xf>
    <xf numFmtId="0" fontId="0" fillId="17" borderId="6" applyAlignment="1" pivotButton="0" quotePrefix="0" xfId="0">
      <alignment horizontal="center" vertical="center"/>
    </xf>
    <xf numFmtId="49" fontId="46" fillId="0" borderId="0" applyAlignment="1" pivotButton="0" quotePrefix="0" xfId="9">
      <alignment vertical="top"/>
    </xf>
    <xf numFmtId="49" fontId="50" fillId="0" borderId="0" applyAlignment="1" pivotButton="0" quotePrefix="0" xfId="9">
      <alignment vertical="top"/>
    </xf>
    <xf numFmtId="0" fontId="54" fillId="11" borderId="34" applyAlignment="1" pivotButton="0" quotePrefix="0" xfId="13">
      <alignment horizontal="center" vertical="center" wrapText="1"/>
    </xf>
    <xf numFmtId="0" fontId="55" fillId="12" borderId="34" applyAlignment="1" pivotButton="0" quotePrefix="0" xfId="13">
      <alignment horizontal="center" vertical="top" wrapText="1"/>
    </xf>
    <xf numFmtId="0" fontId="0" fillId="17" borderId="5" applyAlignment="1" pivotButton="0" quotePrefix="0" xfId="0">
      <alignment horizontal="center" vertical="center"/>
    </xf>
    <xf numFmtId="0" fontId="0" fillId="17" borderId="7" applyAlignment="1" pivotButton="0" quotePrefix="0" xfId="0">
      <alignment horizontal="center" vertical="center"/>
    </xf>
    <xf numFmtId="49" fontId="52" fillId="0" borderId="39" applyAlignment="1" pivotButton="0" quotePrefix="0" xfId="5">
      <alignment horizontal="left" vertical="top" indent="5"/>
    </xf>
    <xf numFmtId="49" fontId="45" fillId="0" borderId="41" applyAlignment="1" pivotButton="0" quotePrefix="0" xfId="5">
      <alignment horizontal="left" vertical="top" indent="2"/>
    </xf>
    <xf numFmtId="167" fontId="46" fillId="0" borderId="41" applyAlignment="1" pivotButton="0" quotePrefix="0" xfId="5">
      <alignment horizontal="right" vertical="top"/>
    </xf>
    <xf numFmtId="168" fontId="46" fillId="0" borderId="0" applyAlignment="1" pivotButton="0" quotePrefix="0" xfId="5">
      <alignment horizontal="right" vertical="top"/>
    </xf>
    <xf numFmtId="167" fontId="45" fillId="0" borderId="39" applyAlignment="1" pivotButton="0" quotePrefix="0" xfId="5">
      <alignment horizontal="right" vertical="top"/>
    </xf>
    <xf numFmtId="49" fontId="46" fillId="0" borderId="0" applyAlignment="1" pivotButton="0" quotePrefix="0" xfId="5">
      <alignment vertical="top"/>
    </xf>
    <xf numFmtId="49" fontId="50" fillId="0" borderId="0" applyAlignment="1" pivotButton="0" quotePrefix="0" xfId="5">
      <alignment vertical="top"/>
    </xf>
    <xf numFmtId="49" fontId="45" fillId="0" borderId="0" applyAlignment="1" pivotButton="0" quotePrefix="0" xfId="5">
      <alignment vertical="top"/>
    </xf>
    <xf numFmtId="0" fontId="47" fillId="0" borderId="0" applyAlignment="1" pivotButton="0" quotePrefix="0" xfId="5">
      <alignment horizontal="center"/>
    </xf>
    <xf numFmtId="0" fontId="48" fillId="0" borderId="38" applyAlignment="1" pivotButton="0" quotePrefix="0" xfId="5">
      <alignment horizontal="center"/>
    </xf>
    <xf numFmtId="0" fontId="48" fillId="0" borderId="39" applyAlignment="1" pivotButton="0" quotePrefix="0" xfId="5">
      <alignment horizontal="center"/>
    </xf>
    <xf numFmtId="0" fontId="48" fillId="0" borderId="40" applyAlignment="1" pivotButton="0" quotePrefix="0" xfId="5">
      <alignment horizontal="center"/>
    </xf>
    <xf numFmtId="0" fontId="48" fillId="0" borderId="0" applyAlignment="1" pivotButton="0" quotePrefix="0" xfId="5">
      <alignment horizontal="center"/>
    </xf>
    <xf numFmtId="0" fontId="48" fillId="5" borderId="0" applyAlignment="1" pivotButton="0" quotePrefix="0" xfId="5">
      <alignment horizontal="center"/>
    </xf>
    <xf numFmtId="0" fontId="76" fillId="0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7" pivotButton="0" quotePrefix="0" xfId="0"/>
    <xf numFmtId="164" fontId="30" fillId="0" borderId="8" applyAlignment="1" pivotButton="0" quotePrefix="0" xfId="1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30" fillId="0" borderId="0" applyAlignment="1" pivotButton="0" quotePrefix="0" xfId="1">
      <alignment horizontal="center"/>
    </xf>
    <xf numFmtId="164" fontId="38" fillId="0" borderId="0" pivotButton="0" quotePrefix="0" xfId="1"/>
    <xf numFmtId="164" fontId="38" fillId="0" borderId="0" applyAlignment="1" pivotButton="0" quotePrefix="0" xfId="1">
      <alignment horizontal="center"/>
    </xf>
    <xf numFmtId="164" fontId="39" fillId="0" borderId="0" applyAlignment="1" pivotButton="0" quotePrefix="0" xfId="1">
      <alignment horizontal="left"/>
    </xf>
    <xf numFmtId="0" fontId="0" fillId="0" borderId="57" pivotButton="0" quotePrefix="0" xfId="0"/>
    <xf numFmtId="0" fontId="0" fillId="0" borderId="6" pivotButton="0" quotePrefix="0" xfId="0"/>
    <xf numFmtId="0" fontId="0" fillId="0" borderId="9" pivotButton="0" quotePrefix="0" xfId="0"/>
    <xf numFmtId="164" fontId="29" fillId="0" borderId="22" pivotButton="0" quotePrefix="0" xfId="1"/>
    <xf numFmtId="164" fontId="29" fillId="0" borderId="34" pivotButton="0" quotePrefix="0" xfId="1"/>
    <xf numFmtId="164" fontId="29" fillId="0" borderId="43" pivotButton="0" quotePrefix="0" xfId="1"/>
    <xf numFmtId="167" fontId="29" fillId="0" borderId="22" pivotButton="0" quotePrefix="0" xfId="1"/>
    <xf numFmtId="164" fontId="0" fillId="0" borderId="0" pivotButton="0" quotePrefix="0" xfId="0"/>
    <xf numFmtId="164" fontId="43" fillId="0" borderId="0" applyAlignment="1" pivotButton="0" quotePrefix="0" xfId="1">
      <alignment horizontal="left"/>
    </xf>
    <xf numFmtId="164" fontId="58" fillId="0" borderId="0" applyAlignment="1" pivotButton="0" quotePrefix="0" xfId="0">
      <alignment horizontal="left"/>
    </xf>
    <xf numFmtId="0" fontId="40" fillId="0" borderId="58" applyAlignment="1" pivotButton="0" quotePrefix="0" xfId="0">
      <alignment horizontal="center" vertical="center" wrapText="1"/>
    </xf>
    <xf numFmtId="0" fontId="0" fillId="0" borderId="59" pivotButton="0" quotePrefix="0" xfId="0"/>
    <xf numFmtId="167" fontId="29" fillId="0" borderId="34" pivotButton="0" quotePrefix="0" xfId="1"/>
    <xf numFmtId="164" fontId="29" fillId="0" borderId="0" pivotButton="0" quotePrefix="0" xfId="1"/>
    <xf numFmtId="164" fontId="41" fillId="0" borderId="6" pivotButton="0" quotePrefix="0" xfId="1"/>
    <xf numFmtId="164" fontId="38" fillId="0" borderId="0" pivotButton="0" quotePrefix="0" xfId="0"/>
    <xf numFmtId="0" fontId="76" fillId="0" borderId="8" applyAlignment="1" pivotButton="0" quotePrefix="0" xfId="0">
      <alignment horizontal="center"/>
    </xf>
    <xf numFmtId="164" fontId="74" fillId="0" borderId="8" applyAlignment="1" pivotButton="0" quotePrefix="0" xfId="1">
      <alignment horizontal="center"/>
    </xf>
    <xf numFmtId="164" fontId="75" fillId="21" borderId="31" applyAlignment="1" pivotButton="0" quotePrefix="0" xfId="1">
      <alignment horizontal="center" vertical="center" wrapText="1"/>
    </xf>
    <xf numFmtId="164" fontId="75" fillId="21" borderId="32" applyAlignment="1" pivotButton="0" quotePrefix="0" xfId="1">
      <alignment horizontal="center" vertical="center" wrapText="1"/>
    </xf>
    <xf numFmtId="164" fontId="75" fillId="21" borderId="33" applyAlignment="1" pivotButton="0" quotePrefix="0" xfId="1">
      <alignment horizontal="center" vertical="center" wrapText="1"/>
    </xf>
    <xf numFmtId="164" fontId="75" fillId="0" borderId="21" applyAlignment="1" pivotButton="0" quotePrefix="0" xfId="1">
      <alignment horizontal="center" vertical="center" wrapText="1"/>
    </xf>
    <xf numFmtId="164" fontId="75" fillId="0" borderId="20" applyAlignment="1" pivotButton="0" quotePrefix="0" xfId="1">
      <alignment horizontal="center" vertical="center" wrapText="1"/>
    </xf>
    <xf numFmtId="164" fontId="75" fillId="0" borderId="13" applyAlignment="1" pivotButton="0" quotePrefix="0" xfId="1">
      <alignment horizontal="center" vertical="center" wrapText="1"/>
    </xf>
    <xf numFmtId="164" fontId="75" fillId="0" borderId="21" applyAlignment="1" pivotButton="0" quotePrefix="0" xfId="1">
      <alignment horizontal="left"/>
    </xf>
    <xf numFmtId="164" fontId="77" fillId="0" borderId="20" applyAlignment="1" pivotButton="0" quotePrefix="0" xfId="1">
      <alignment horizontal="center"/>
    </xf>
    <xf numFmtId="164" fontId="29" fillId="0" borderId="21" pivotButton="0" quotePrefix="0" xfId="1"/>
    <xf numFmtId="164" fontId="29" fillId="0" borderId="20" pivotButton="0" quotePrefix="0" xfId="1"/>
    <xf numFmtId="164" fontId="29" fillId="0" borderId="13" pivotButton="0" quotePrefix="0" xfId="1"/>
    <xf numFmtId="164" fontId="29" fillId="0" borderId="0" pivotButton="0" quotePrefix="0" xfId="0"/>
    <xf numFmtId="164" fontId="75" fillId="0" borderId="21" applyAlignment="1" pivotButton="0" quotePrefix="0" xfId="1">
      <alignment horizontal="left" indent="3"/>
    </xf>
    <xf numFmtId="164" fontId="75" fillId="0" borderId="21" applyAlignment="1" pivotButton="0" quotePrefix="0" xfId="1">
      <alignment horizontal="center" wrapText="1"/>
    </xf>
    <xf numFmtId="164" fontId="75" fillId="21" borderId="31" applyAlignment="1" pivotButton="0" quotePrefix="0" xfId="1">
      <alignment horizontal="center"/>
    </xf>
    <xf numFmtId="164" fontId="75" fillId="21" borderId="32" pivotButton="0" quotePrefix="0" xfId="1"/>
    <xf numFmtId="164" fontId="75" fillId="21" borderId="33" pivotButton="0" quotePrefix="0" xfId="1"/>
    <xf numFmtId="164" fontId="74" fillId="0" borderId="20" applyAlignment="1" pivotButton="0" quotePrefix="0" xfId="1">
      <alignment horizontal="left"/>
    </xf>
    <xf numFmtId="164" fontId="75" fillId="0" borderId="21" pivotButton="0" quotePrefix="0" xfId="1"/>
    <xf numFmtId="164" fontId="75" fillId="0" borderId="20" pivotButton="0" quotePrefix="0" xfId="1"/>
    <xf numFmtId="164" fontId="75" fillId="0" borderId="0" pivotButton="0" quotePrefix="0" xfId="1"/>
    <xf numFmtId="164" fontId="77" fillId="0" borderId="21" applyAlignment="1" pivotButton="0" quotePrefix="0" xfId="1">
      <alignment horizontal="center"/>
    </xf>
    <xf numFmtId="164" fontId="87" fillId="0" borderId="22" applyAlignment="1" pivotButton="0" quotePrefix="0" xfId="1">
      <alignment horizontal="left"/>
    </xf>
    <xf numFmtId="164" fontId="87" fillId="0" borderId="20" applyAlignment="1" pivotButton="0" quotePrefix="0" xfId="1">
      <alignment horizontal="center"/>
    </xf>
    <xf numFmtId="164" fontId="88" fillId="0" borderId="20" applyAlignment="1" pivotButton="0" quotePrefix="0" xfId="1">
      <alignment horizontal="center"/>
    </xf>
    <xf numFmtId="164" fontId="89" fillId="0" borderId="21" pivotButton="0" quotePrefix="0" xfId="1"/>
    <xf numFmtId="164" fontId="83" fillId="0" borderId="20" pivotButton="0" quotePrefix="0" xfId="1"/>
    <xf numFmtId="164" fontId="83" fillId="0" borderId="0" pivotButton="0" quotePrefix="0" xfId="1"/>
    <xf numFmtId="164" fontId="94" fillId="0" borderId="22" applyAlignment="1" pivotButton="0" quotePrefix="0" xfId="1">
      <alignment horizontal="left" wrapText="1"/>
    </xf>
    <xf numFmtId="164" fontId="87" fillId="0" borderId="20" applyAlignment="1" pivotButton="0" quotePrefix="0" xfId="1">
      <alignment horizontal="left"/>
    </xf>
    <xf numFmtId="164" fontId="74" fillId="21" borderId="32" pivotButton="0" quotePrefix="0" xfId="1"/>
    <xf numFmtId="164" fontId="74" fillId="21" borderId="33" pivotButton="0" quotePrefix="0" xfId="1"/>
    <xf numFmtId="164" fontId="87" fillId="22" borderId="22" applyAlignment="1" pivotButton="0" quotePrefix="0" xfId="1">
      <alignment horizontal="left"/>
    </xf>
    <xf numFmtId="164" fontId="88" fillId="22" borderId="22" applyAlignment="1" pivotButton="0" quotePrefix="0" xfId="1">
      <alignment horizontal="center"/>
    </xf>
    <xf numFmtId="164" fontId="89" fillId="22" borderId="22" pivotButton="0" quotePrefix="0" xfId="1"/>
    <xf numFmtId="164" fontId="81" fillId="0" borderId="0" applyAlignment="1" pivotButton="0" quotePrefix="0" xfId="1">
      <alignment horizontal="left"/>
    </xf>
    <xf numFmtId="164" fontId="82" fillId="0" borderId="0" applyAlignment="1" pivotButton="0" quotePrefix="0" xfId="1">
      <alignment horizontal="center"/>
    </xf>
    <xf numFmtId="164" fontId="77" fillId="0" borderId="0" applyAlignment="1" pivotButton="0" quotePrefix="0" xfId="1">
      <alignment horizontal="center"/>
    </xf>
    <xf numFmtId="164" fontId="75" fillId="0" borderId="0" applyAlignment="1" pivotButton="0" quotePrefix="0" xfId="1">
      <alignment horizontal="center"/>
    </xf>
    <xf numFmtId="164" fontId="75" fillId="21" borderId="8" applyAlignment="1" pivotButton="0" quotePrefix="0" xfId="1">
      <alignment horizontal="center" vertical="center"/>
    </xf>
    <xf numFmtId="9" fontId="75" fillId="21" borderId="8" applyAlignment="1" pivotButton="0" quotePrefix="0" xfId="1">
      <alignment horizontal="center" vertical="center"/>
    </xf>
    <xf numFmtId="164" fontId="75" fillId="0" borderId="4" applyAlignment="1" pivotButton="0" quotePrefix="0" xfId="1">
      <alignment horizontal="center"/>
    </xf>
    <xf numFmtId="164" fontId="75" fillId="0" borderId="4" pivotButton="0" quotePrefix="0" xfId="1"/>
    <xf numFmtId="164" fontId="75" fillId="0" borderId="9" applyAlignment="1" pivotButton="0" quotePrefix="0" xfId="1">
      <alignment horizontal="left" wrapText="1"/>
    </xf>
    <xf numFmtId="164" fontId="77" fillId="0" borderId="9" pivotButton="0" quotePrefix="0" xfId="1"/>
    <xf numFmtId="164" fontId="75" fillId="0" borderId="6" applyAlignment="1" pivotButton="0" quotePrefix="0" xfId="1">
      <alignment horizontal="center"/>
    </xf>
    <xf numFmtId="164" fontId="75" fillId="0" borderId="9" pivotButton="0" quotePrefix="0" xfId="1"/>
    <xf numFmtId="0" fontId="29" fillId="21" borderId="8" applyAlignment="1" pivotButton="0" quotePrefix="0" xfId="0">
      <alignment horizontal="center"/>
    </xf>
    <xf numFmtId="164" fontId="41" fillId="21" borderId="8" pivotButton="0" quotePrefix="0" xfId="0"/>
    <xf numFmtId="164" fontId="74" fillId="21" borderId="8" applyAlignment="1" pivotButton="0" quotePrefix="0" xfId="1">
      <alignment horizontal="center"/>
    </xf>
    <xf numFmtId="164" fontId="29" fillId="0" borderId="2" applyAlignment="1" pivotButton="0" quotePrefix="0" xfId="1">
      <alignment horizontal="center"/>
    </xf>
    <xf numFmtId="164" fontId="74" fillId="21" borderId="31" applyAlignment="1" pivotButton="0" quotePrefix="0" xfId="1">
      <alignment horizontal="center" vertical="center" wrapText="1"/>
    </xf>
    <xf numFmtId="164" fontId="74" fillId="21" borderId="32" applyAlignment="1" pivotButton="0" quotePrefix="0" xfId="1">
      <alignment horizontal="center" vertical="center" wrapText="1"/>
    </xf>
    <xf numFmtId="164" fontId="74" fillId="21" borderId="33" applyAlignment="1" pivotButton="0" quotePrefix="0" xfId="1">
      <alignment horizontal="center" vertical="center" wrapText="1"/>
    </xf>
    <xf numFmtId="164" fontId="41" fillId="0" borderId="12" applyAlignment="1" pivotButton="0" quotePrefix="0" xfId="1">
      <alignment horizontal="left" vertical="top"/>
    </xf>
    <xf numFmtId="164" fontId="41" fillId="0" borderId="8" applyAlignment="1" pivotButton="0" quotePrefix="0" xfId="1">
      <alignment horizontal="left" vertical="top"/>
    </xf>
    <xf numFmtId="164" fontId="84" fillId="0" borderId="12" applyAlignment="1" pivotButton="0" quotePrefix="0" xfId="1">
      <alignment horizontal="left" vertical="top"/>
    </xf>
    <xf numFmtId="164" fontId="41" fillId="0" borderId="25" applyAlignment="1" pivotButton="0" quotePrefix="0" xfId="1">
      <alignment horizontal="left" vertical="top"/>
    </xf>
    <xf numFmtId="164" fontId="75" fillId="0" borderId="23" applyAlignment="1" pivotButton="0" quotePrefix="0" xfId="1">
      <alignment horizontal="left"/>
    </xf>
    <xf numFmtId="164" fontId="75" fillId="0" borderId="24" pivotButton="0" quotePrefix="0" xfId="1"/>
    <xf numFmtId="164" fontId="75" fillId="0" borderId="0" applyAlignment="1" pivotButton="0" quotePrefix="0" xfId="1">
      <alignment horizontal="left"/>
    </xf>
    <xf numFmtId="164" fontId="75" fillId="21" borderId="8" applyAlignment="1" pivotButton="0" quotePrefix="0" xfId="1">
      <alignment horizontal="center" vertical="center" wrapText="1"/>
    </xf>
    <xf numFmtId="164" fontId="75" fillId="0" borderId="12" applyAlignment="1" pivotButton="0" quotePrefix="0" xfId="1">
      <alignment horizontal="center"/>
    </xf>
    <xf numFmtId="164" fontId="75" fillId="0" borderId="5" applyAlignment="1" pivotButton="0" quotePrefix="0" xfId="1">
      <alignment horizontal="center"/>
    </xf>
    <xf numFmtId="164" fontId="75" fillId="0" borderId="26" applyAlignment="1" pivotButton="0" quotePrefix="0" xfId="1">
      <alignment horizontal="center"/>
    </xf>
    <xf numFmtId="164" fontId="77" fillId="0" borderId="12" applyAlignment="1" pivotButton="0" quotePrefix="0" xfId="1">
      <alignment horizontal="left"/>
    </xf>
    <xf numFmtId="164" fontId="77" fillId="0" borderId="9" applyAlignment="1" pivotButton="0" quotePrefix="0" xfId="26">
      <alignment horizontal="center"/>
    </xf>
    <xf numFmtId="164" fontId="77" fillId="0" borderId="13" applyAlignment="1" pivotButton="0" quotePrefix="0" xfId="26">
      <alignment horizontal="center"/>
    </xf>
    <xf numFmtId="164" fontId="77" fillId="0" borderId="26" applyAlignment="1" pivotButton="0" quotePrefix="0" xfId="26">
      <alignment horizontal="center"/>
    </xf>
    <xf numFmtId="164" fontId="77" fillId="0" borderId="9" applyAlignment="1" pivotButton="0" quotePrefix="0" xfId="43">
      <alignment horizontal="center"/>
    </xf>
    <xf numFmtId="164" fontId="77" fillId="0" borderId="13" applyAlignment="1" pivotButton="0" quotePrefix="0" xfId="1">
      <alignment horizontal="center"/>
    </xf>
    <xf numFmtId="164" fontId="77" fillId="0" borderId="26" applyAlignment="1" pivotButton="0" quotePrefix="0" xfId="1">
      <alignment horizontal="center"/>
    </xf>
    <xf numFmtId="164" fontId="77" fillId="0" borderId="0" applyAlignment="1" pivotButton="0" quotePrefix="0" xfId="1">
      <alignment horizontal="left"/>
    </xf>
    <xf numFmtId="164" fontId="77" fillId="0" borderId="9" applyAlignment="1" pivotButton="0" quotePrefix="0" xfId="1">
      <alignment horizontal="center"/>
    </xf>
    <xf numFmtId="164" fontId="77" fillId="0" borderId="0" applyAlignment="1" pivotButton="0" quotePrefix="0" xfId="1">
      <alignment vertical="top"/>
    </xf>
    <xf numFmtId="164" fontId="77" fillId="0" borderId="27" applyAlignment="1" pivotButton="0" quotePrefix="0" xfId="1">
      <alignment horizontal="left"/>
    </xf>
    <xf numFmtId="164" fontId="77" fillId="0" borderId="28" applyAlignment="1" pivotButton="0" quotePrefix="0" xfId="1">
      <alignment horizontal="center"/>
    </xf>
    <xf numFmtId="164" fontId="77" fillId="0" borderId="29" applyAlignment="1" pivotButton="0" quotePrefix="0" xfId="1">
      <alignment horizontal="center"/>
    </xf>
    <xf numFmtId="164" fontId="41" fillId="0" borderId="0" pivotButton="0" quotePrefix="0" xfId="1"/>
    <xf numFmtId="164" fontId="75" fillId="0" borderId="34" applyAlignment="1" pivotButton="0" quotePrefix="0" xfId="1">
      <alignment horizontal="left"/>
    </xf>
    <xf numFmtId="164" fontId="75" fillId="0" borderId="34" pivotButton="0" quotePrefix="0" xfId="1"/>
    <xf numFmtId="164" fontId="77" fillId="0" borderId="19" applyAlignment="1" pivotButton="0" quotePrefix="0" xfId="1">
      <alignment horizontal="left"/>
    </xf>
    <xf numFmtId="164" fontId="77" fillId="0" borderId="19" applyAlignment="1" pivotButton="0" quotePrefix="0" xfId="1">
      <alignment horizontal="center"/>
    </xf>
    <xf numFmtId="164" fontId="74" fillId="21" borderId="31" applyAlignment="1" pivotButton="0" quotePrefix="0" xfId="1">
      <alignment horizontal="left"/>
    </xf>
    <xf numFmtId="164" fontId="53" fillId="21" borderId="32" applyAlignment="1" pivotButton="0" quotePrefix="0" xfId="1">
      <alignment horizontal="center"/>
    </xf>
    <xf numFmtId="164" fontId="53" fillId="21" borderId="33" applyAlignment="1" pivotButton="0" quotePrefix="0" xfId="1">
      <alignment horizontal="center"/>
    </xf>
    <xf numFmtId="164" fontId="75" fillId="21" borderId="8" applyAlignment="1" pivotButton="0" quotePrefix="0" xfId="1">
      <alignment horizontal="center"/>
    </xf>
    <xf numFmtId="165" fontId="29" fillId="0" borderId="0" pivotButton="0" quotePrefix="0" xfId="1"/>
    <xf numFmtId="164" fontId="77" fillId="0" borderId="6" applyAlignment="1" pivotButton="0" quotePrefix="0" xfId="1">
      <alignment horizontal="center"/>
    </xf>
    <xf numFmtId="164" fontId="41" fillId="0" borderId="8" applyAlignment="1" pivotButton="0" quotePrefix="0" xfId="1">
      <alignment horizontal="right"/>
    </xf>
    <xf numFmtId="164" fontId="41" fillId="0" borderId="0" applyAlignment="1" pivotButton="0" quotePrefix="0" xfId="1">
      <alignment horizontal="right"/>
    </xf>
    <xf numFmtId="164" fontId="90" fillId="21" borderId="8" applyAlignment="1" pivotButton="0" quotePrefix="0" xfId="1">
      <alignment horizontal="right"/>
    </xf>
    <xf numFmtId="0" fontId="85" fillId="0" borderId="8" applyAlignment="1" pivotButton="0" quotePrefix="0" xfId="0">
      <alignment horizontal="center"/>
    </xf>
    <xf numFmtId="164" fontId="41" fillId="0" borderId="22" pivotButton="0" quotePrefix="0" xfId="0"/>
    <xf numFmtId="164" fontId="41" fillId="0" borderId="49" pivotButton="0" quotePrefix="0" xfId="0"/>
    <xf numFmtId="164" fontId="29" fillId="0" borderId="35" pivotButton="0" quotePrefix="0" xfId="0"/>
    <xf numFmtId="164" fontId="29" fillId="0" borderId="35" pivotButton="0" quotePrefix="0" xfId="1"/>
    <xf numFmtId="164" fontId="41" fillId="0" borderId="24" pivotButton="0" quotePrefix="0" xfId="0"/>
    <xf numFmtId="164" fontId="41" fillId="0" borderId="53" pivotButton="0" quotePrefix="0" xfId="0"/>
    <xf numFmtId="164" fontId="30" fillId="0" borderId="1" applyAlignment="1" pivotButton="0" quotePrefix="0" xfId="1">
      <alignment horizontal="center"/>
    </xf>
    <xf numFmtId="164" fontId="30" fillId="0" borderId="2" applyAlignment="1" pivotButton="0" quotePrefix="0" xfId="1">
      <alignment horizontal="center"/>
    </xf>
    <xf numFmtId="164" fontId="30" fillId="0" borderId="3" applyAlignment="1" pivotButton="0" quotePrefix="0" xfId="1">
      <alignment horizontal="center"/>
    </xf>
    <xf numFmtId="170" fontId="0" fillId="0" borderId="0" pivotButton="0" quotePrefix="0" xfId="0"/>
    <xf numFmtId="164" fontId="39" fillId="0" borderId="15" applyAlignment="1" pivotButton="0" quotePrefix="0" xfId="1">
      <alignment horizontal="left"/>
    </xf>
    <xf numFmtId="167" fontId="38" fillId="0" borderId="9" pivotButton="0" quotePrefix="0" xfId="1"/>
    <xf numFmtId="167" fontId="29" fillId="0" borderId="9" pivotButton="0" quotePrefix="0" xfId="1"/>
    <xf numFmtId="170" fontId="29" fillId="0" borderId="0" pivotButton="0" quotePrefix="0" xfId="0"/>
    <xf numFmtId="168" fontId="29" fillId="0" borderId="9" pivotButton="0" quotePrefix="0" xfId="1"/>
    <xf numFmtId="164" fontId="29" fillId="0" borderId="9" applyAlignment="1" pivotButton="0" quotePrefix="0" xfId="1">
      <alignment horizontal="center" vertical="center"/>
    </xf>
    <xf numFmtId="164" fontId="38" fillId="0" borderId="9" applyAlignment="1" pivotButton="0" quotePrefix="0" xfId="1">
      <alignment horizontal="center" vertical="center"/>
    </xf>
    <xf numFmtId="164" fontId="38" fillId="0" borderId="8" applyAlignment="1" pivotButton="0" quotePrefix="0" xfId="1">
      <alignment horizontal="center" vertical="center"/>
    </xf>
    <xf numFmtId="167" fontId="41" fillId="0" borderId="34" applyAlignment="1" pivotButton="0" quotePrefix="0" xfId="49">
      <alignment horizontal="right" vertical="top"/>
    </xf>
    <xf numFmtId="167" fontId="41" fillId="0" borderId="0" applyAlignment="1" pivotButton="0" quotePrefix="0" xfId="49">
      <alignment horizontal="right" vertical="top"/>
    </xf>
    <xf numFmtId="164" fontId="29" fillId="0" borderId="14" pivotButton="0" quotePrefix="0" xfId="1"/>
    <xf numFmtId="164" fontId="29" fillId="0" borderId="6" pivotButton="0" quotePrefix="0" xfId="1"/>
    <xf numFmtId="167" fontId="45" fillId="0" borderId="0" applyAlignment="1" pivotButton="0" quotePrefix="0" xfId="49">
      <alignment horizontal="right" vertical="top"/>
    </xf>
    <xf numFmtId="164" fontId="11" fillId="0" borderId="0" pivotButton="0" quotePrefix="0" xfId="0"/>
    <xf numFmtId="171" fontId="57" fillId="0" borderId="0" pivotButton="0" quotePrefix="0" xfId="0"/>
    <xf numFmtId="170" fontId="57" fillId="0" borderId="0" pivotButton="0" quotePrefix="0" xfId="0"/>
    <xf numFmtId="167" fontId="45" fillId="0" borderId="0" applyAlignment="1" pivotButton="0" quotePrefix="0" xfId="0">
      <alignment horizontal="right" vertical="top"/>
    </xf>
    <xf numFmtId="168" fontId="52" fillId="0" borderId="0" applyAlignment="1" pivotButton="0" quotePrefix="0" xfId="0">
      <alignment horizontal="right" vertical="top"/>
    </xf>
    <xf numFmtId="0" fontId="76" fillId="0" borderId="1" applyAlignment="1" pivotButton="0" quotePrefix="0" xfId="0">
      <alignment horizontal="center" vertical="center"/>
    </xf>
    <xf numFmtId="164" fontId="75" fillId="0" borderId="1" applyAlignment="1" pivotButton="0" quotePrefix="0" xfId="1">
      <alignment horizontal="center" vertical="center"/>
    </xf>
    <xf numFmtId="164" fontId="75" fillId="21" borderId="46" applyAlignment="1" pivotButton="0" quotePrefix="0" xfId="1">
      <alignment horizontal="center" vertical="center" wrapText="1"/>
    </xf>
    <xf numFmtId="164" fontId="75" fillId="0" borderId="9" applyAlignment="1" pivotButton="0" quotePrefix="0" xfId="1">
      <alignment horizontal="center" vertical="center" wrapText="1"/>
    </xf>
    <xf numFmtId="164" fontId="75" fillId="0" borderId="52" applyAlignment="1" pivotButton="0" quotePrefix="0" xfId="1">
      <alignment horizontal="left"/>
    </xf>
    <xf numFmtId="164" fontId="77" fillId="0" borderId="40" applyAlignment="1" pivotButton="0" quotePrefix="0" xfId="1">
      <alignment horizontal="center"/>
    </xf>
    <xf numFmtId="170" fontId="29" fillId="0" borderId="0" pivotButton="0" quotePrefix="0" xfId="1"/>
    <xf numFmtId="164" fontId="75" fillId="0" borderId="52" applyAlignment="1" pivotButton="0" quotePrefix="0" xfId="1">
      <alignment horizontal="left" wrapText="1"/>
    </xf>
    <xf numFmtId="164" fontId="41" fillId="0" borderId="0" pivotButton="0" quotePrefix="0" xfId="0"/>
    <xf numFmtId="164" fontId="75" fillId="0" borderId="9" applyAlignment="1" pivotButton="0" quotePrefix="0" xfId="1">
      <alignment horizontal="left"/>
    </xf>
    <xf numFmtId="164" fontId="75" fillId="21" borderId="8" applyAlignment="1" pivotButton="0" quotePrefix="0" xfId="1">
      <alignment horizontal="right" indent="1"/>
    </xf>
    <xf numFmtId="164" fontId="75" fillId="21" borderId="46" applyAlignment="1" pivotButton="0" quotePrefix="0" xfId="1">
      <alignment horizontal="right" indent="1"/>
    </xf>
    <xf numFmtId="164" fontId="75" fillId="21" borderId="32" applyAlignment="1" pivotButton="0" quotePrefix="0" xfId="1">
      <alignment horizontal="right" indent="1"/>
    </xf>
    <xf numFmtId="164" fontId="75" fillId="21" borderId="33" applyAlignment="1" pivotButton="0" quotePrefix="0" xfId="1">
      <alignment horizontal="right" indent="1"/>
    </xf>
    <xf numFmtId="164" fontId="29" fillId="0" borderId="40" pivotButton="0" quotePrefix="0" xfId="1"/>
    <xf numFmtId="164" fontId="77" fillId="0" borderId="52" applyAlignment="1" pivotButton="0" quotePrefix="0" xfId="1">
      <alignment horizontal="left" indent="4"/>
    </xf>
    <xf numFmtId="164" fontId="77" fillId="0" borderId="28" applyAlignment="1" pivotButton="0" quotePrefix="0" xfId="1">
      <alignment horizontal="left" indent="4"/>
    </xf>
    <xf numFmtId="164" fontId="29" fillId="0" borderId="42" pivotButton="0" quotePrefix="0" xfId="1"/>
    <xf numFmtId="164" fontId="29" fillId="0" borderId="19" pivotButton="0" quotePrefix="0" xfId="1"/>
    <xf numFmtId="164" fontId="77" fillId="0" borderId="9" applyAlignment="1" pivotButton="0" quotePrefix="0" xfId="1">
      <alignment horizontal="left" indent="4"/>
    </xf>
    <xf numFmtId="164" fontId="75" fillId="0" borderId="28" applyAlignment="1" pivotButton="0" quotePrefix="0" xfId="1">
      <alignment horizontal="left"/>
    </xf>
    <xf numFmtId="164" fontId="77" fillId="0" borderId="42" applyAlignment="1" pivotButton="0" quotePrefix="0" xfId="1">
      <alignment horizontal="center"/>
    </xf>
    <xf numFmtId="164" fontId="75" fillId="21" borderId="3" applyAlignment="1" pivotButton="0" quotePrefix="0" xfId="1">
      <alignment horizontal="right" indent="1"/>
    </xf>
    <xf numFmtId="164" fontId="75" fillId="0" borderId="44" applyAlignment="1" pivotButton="0" quotePrefix="0" xfId="1">
      <alignment horizontal="left"/>
    </xf>
    <xf numFmtId="164" fontId="77" fillId="0" borderId="51" applyAlignment="1" pivotButton="0" quotePrefix="0" xfId="1">
      <alignment horizontal="center"/>
    </xf>
    <xf numFmtId="164" fontId="75" fillId="0" borderId="12" applyAlignment="1" pivotButton="0" quotePrefix="0" xfId="1">
      <alignment horizontal="left"/>
    </xf>
    <xf numFmtId="164" fontId="80" fillId="21" borderId="31" applyAlignment="1" pivotButton="0" quotePrefix="0" xfId="1">
      <alignment horizontal="center"/>
    </xf>
    <xf numFmtId="164" fontId="80" fillId="21" borderId="32" pivotButton="0" quotePrefix="0" xfId="1"/>
    <xf numFmtId="164" fontId="29" fillId="7" borderId="34" pivotButton="0" quotePrefix="0" xfId="0"/>
    <xf numFmtId="164" fontId="75" fillId="0" borderId="31" applyAlignment="1" pivotButton="0" quotePrefix="0" xfId="1">
      <alignment horizontal="center" vertical="center" wrapText="1"/>
    </xf>
    <xf numFmtId="164" fontId="75" fillId="0" borderId="32" applyAlignment="1" pivotButton="0" quotePrefix="0" xfId="1">
      <alignment horizontal="center" vertical="center" wrapText="1"/>
    </xf>
    <xf numFmtId="164" fontId="75" fillId="0" borderId="45" applyAlignment="1" pivotButton="0" quotePrefix="0" xfId="1">
      <alignment horizontal="center" vertical="center" wrapText="1"/>
    </xf>
    <xf numFmtId="164" fontId="75" fillId="0" borderId="33" applyAlignment="1" pivotButton="0" quotePrefix="0" xfId="1">
      <alignment horizontal="center" vertical="center" wrapText="1"/>
    </xf>
    <xf numFmtId="164" fontId="29" fillId="0" borderId="34" pivotButton="0" quotePrefix="0" xfId="0"/>
    <xf numFmtId="164" fontId="75" fillId="20" borderId="31" applyAlignment="1" pivotButton="0" quotePrefix="0" xfId="1">
      <alignment horizontal="center"/>
    </xf>
    <xf numFmtId="164" fontId="41" fillId="20" borderId="34" pivotButton="0" quotePrefix="0" xfId="0"/>
    <xf numFmtId="164" fontId="74" fillId="21" borderId="31" applyAlignment="1" pivotButton="0" quotePrefix="0" xfId="1">
      <alignment horizontal="center"/>
    </xf>
    <xf numFmtId="0" fontId="0" fillId="0" borderId="62" pivotButton="0" quotePrefix="0" xfId="0"/>
    <xf numFmtId="0" fontId="0" fillId="0" borderId="63" pivotButton="0" quotePrefix="0" xfId="0"/>
    <xf numFmtId="164" fontId="29" fillId="0" borderId="25" pivotButton="0" quotePrefix="0" xfId="1"/>
    <xf numFmtId="164" fontId="75" fillId="0" borderId="26" pivotButton="0" quotePrefix="0" xfId="1"/>
    <xf numFmtId="164" fontId="74" fillId="21" borderId="8" applyAlignment="1" pivotButton="0" quotePrefix="0" xfId="1">
      <alignment horizontal="center" vertical="center" wrapText="1"/>
    </xf>
    <xf numFmtId="164" fontId="74" fillId="21" borderId="46" applyAlignment="1" pivotButton="0" quotePrefix="0" xfId="1">
      <alignment horizontal="center" vertical="center" wrapText="1"/>
    </xf>
    <xf numFmtId="164" fontId="41" fillId="0" borderId="44" applyAlignment="1" pivotButton="0" quotePrefix="0" xfId="1">
      <alignment horizontal="left" vertical="top"/>
    </xf>
    <xf numFmtId="164" fontId="29" fillId="0" borderId="49" pivotButton="0" quotePrefix="0" xfId="1"/>
    <xf numFmtId="164" fontId="41" fillId="21" borderId="52" applyAlignment="1" pivotButton="0" quotePrefix="0" xfId="1">
      <alignment horizontal="left" vertical="top"/>
    </xf>
    <xf numFmtId="164" fontId="29" fillId="0" borderId="52" applyAlignment="1" pivotButton="0" quotePrefix="0" xfId="1">
      <alignment horizontal="left" vertical="top"/>
    </xf>
    <xf numFmtId="164" fontId="29" fillId="0" borderId="52" applyAlignment="1" pivotButton="0" quotePrefix="0" xfId="1">
      <alignment horizontal="left" vertical="top" wrapText="1"/>
    </xf>
    <xf numFmtId="164" fontId="41" fillId="0" borderId="28" applyAlignment="1" pivotButton="0" quotePrefix="0" xfId="1">
      <alignment horizontal="left" vertical="top"/>
    </xf>
    <xf numFmtId="164" fontId="29" fillId="0" borderId="30" pivotButton="0" quotePrefix="0" xfId="1"/>
    <xf numFmtId="164" fontId="75" fillId="21" borderId="8" applyAlignment="1" pivotButton="0" quotePrefix="0" xfId="1">
      <alignment horizontal="left"/>
    </xf>
    <xf numFmtId="164" fontId="75" fillId="21" borderId="46" pivotButton="0" quotePrefix="0" xfId="1"/>
    <xf numFmtId="164" fontId="75" fillId="0" borderId="14" applyAlignment="1" pivotButton="0" quotePrefix="0" xfId="1">
      <alignment horizontal="left"/>
    </xf>
    <xf numFmtId="164" fontId="75" fillId="0" borderId="15" pivotButton="0" quotePrefix="0" xfId="1"/>
    <xf numFmtId="164" fontId="75" fillId="0" borderId="7" applyAlignment="1" pivotButton="0" quotePrefix="0" xfId="1">
      <alignment horizontal="left"/>
    </xf>
    <xf numFmtId="164" fontId="75" fillId="21" borderId="6" applyAlignment="1" pivotButton="0" quotePrefix="0" xfId="1">
      <alignment horizontal="center"/>
    </xf>
    <xf numFmtId="164" fontId="75" fillId="21" borderId="4" applyAlignment="1" pivotButton="0" quotePrefix="0" xfId="1">
      <alignment horizontal="center" vertical="center"/>
    </xf>
    <xf numFmtId="164" fontId="75" fillId="21" borderId="4" applyAlignment="1" pivotButton="0" quotePrefix="0" xfId="1">
      <alignment horizontal="center" vertical="center" wrapText="1"/>
    </xf>
    <xf numFmtId="164" fontId="75" fillId="0" borderId="34" applyAlignment="1" pivotButton="0" quotePrefix="0" xfId="1">
      <alignment horizontal="center"/>
    </xf>
    <xf numFmtId="164" fontId="77" fillId="0" borderId="34" applyAlignment="1" pivotButton="0" quotePrefix="0" xfId="1">
      <alignment horizontal="left"/>
    </xf>
    <xf numFmtId="164" fontId="77" fillId="0" borderId="34" applyAlignment="1" pivotButton="0" quotePrefix="0" xfId="1">
      <alignment horizontal="center"/>
    </xf>
    <xf numFmtId="164" fontId="77" fillId="0" borderId="0" applyAlignment="1" pivotButton="0" quotePrefix="0" xfId="1">
      <alignment horizontal="left" vertical="top"/>
    </xf>
    <xf numFmtId="164" fontId="77" fillId="0" borderId="8" applyAlignment="1" pivotButton="0" quotePrefix="0" xfId="1">
      <alignment horizontal="left"/>
    </xf>
    <xf numFmtId="164" fontId="77" fillId="0" borderId="8" applyAlignment="1" pivotButton="0" quotePrefix="0" xfId="1">
      <alignment horizontal="center"/>
    </xf>
    <xf numFmtId="164" fontId="75" fillId="21" borderId="1" applyAlignment="1" pivotButton="0" quotePrefix="0" xfId="1">
      <alignment horizontal="left"/>
    </xf>
    <xf numFmtId="164" fontId="75" fillId="21" borderId="8" pivotButton="0" quotePrefix="0" xfId="1"/>
    <xf numFmtId="164" fontId="77" fillId="0" borderId="47" applyAlignment="1" pivotButton="0" quotePrefix="0" xfId="1">
      <alignment horizontal="center"/>
    </xf>
    <xf numFmtId="164" fontId="77" fillId="0" borderId="35" applyAlignment="1" pivotButton="0" quotePrefix="0" xfId="1">
      <alignment horizontal="center"/>
    </xf>
    <xf numFmtId="164" fontId="77" fillId="0" borderId="50" applyAlignment="1" pivotButton="0" quotePrefix="0" xfId="1">
      <alignment horizontal="center"/>
    </xf>
    <xf numFmtId="164" fontId="77" fillId="0" borderId="30" applyAlignment="1" pivotButton="0" quotePrefix="0" xfId="1">
      <alignment horizontal="center"/>
    </xf>
    <xf numFmtId="164" fontId="77" fillId="0" borderId="48" applyAlignment="1" pivotButton="0" quotePrefix="0" xfId="1">
      <alignment horizontal="center"/>
    </xf>
    <xf numFmtId="164" fontId="77" fillId="0" borderId="22" applyAlignment="1" pivotButton="0" quotePrefix="0" xfId="1">
      <alignment horizontal="center"/>
    </xf>
    <xf numFmtId="164" fontId="77" fillId="0" borderId="49" applyAlignment="1" pivotButton="0" quotePrefix="0" xfId="1">
      <alignment horizontal="center"/>
    </xf>
    <xf numFmtId="164" fontId="41" fillId="0" borderId="52" applyAlignment="1" pivotButton="0" quotePrefix="0" xfId="1">
      <alignment horizontal="left" vertical="top"/>
    </xf>
    <xf numFmtId="164" fontId="77" fillId="0" borderId="23" applyAlignment="1" pivotButton="0" quotePrefix="0" xfId="1">
      <alignment horizontal="center"/>
    </xf>
    <xf numFmtId="164" fontId="77" fillId="0" borderId="24" applyAlignment="1" pivotButton="0" quotePrefix="0" xfId="1">
      <alignment horizontal="center"/>
    </xf>
    <xf numFmtId="164" fontId="77" fillId="0" borderId="53" applyAlignment="1" pivotButton="0" quotePrefix="0" xfId="1">
      <alignment horizontal="center"/>
    </xf>
    <xf numFmtId="164" fontId="41" fillId="21" borderId="8" applyAlignment="1" pivotButton="0" quotePrefix="0" xfId="1">
      <alignment horizontal="right"/>
    </xf>
    <xf numFmtId="164" fontId="41" fillId="21" borderId="3" applyAlignment="1" pivotButton="0" quotePrefix="0" xfId="1">
      <alignment horizontal="right"/>
    </xf>
    <xf numFmtId="0" fontId="33" fillId="0" borderId="8" applyAlignment="1" pivotButton="0" quotePrefix="0" xfId="0">
      <alignment horizontal="center" vertical="center"/>
    </xf>
    <xf numFmtId="164" fontId="29" fillId="0" borderId="9" pivotButton="0" quotePrefix="0" xfId="1"/>
    <xf numFmtId="164" fontId="74" fillId="0" borderId="12" applyAlignment="1" pivotButton="0" quotePrefix="0" xfId="1">
      <alignment horizontal="left"/>
    </xf>
    <xf numFmtId="164" fontId="53" fillId="0" borderId="12" applyAlignment="1" pivotButton="0" quotePrefix="0" xfId="1">
      <alignment horizontal="left"/>
    </xf>
    <xf numFmtId="0" fontId="41" fillId="0" borderId="8" applyAlignment="1" pivotButton="0" quotePrefix="0" xfId="0">
      <alignment horizontal="center"/>
    </xf>
    <xf numFmtId="164" fontId="67" fillId="0" borderId="0" applyAlignment="1" pivotButton="0" quotePrefix="0" xfId="1">
      <alignment horizontal="left"/>
    </xf>
    <xf numFmtId="164" fontId="30" fillId="0" borderId="0" pivotButton="0" quotePrefix="0" xfId="0"/>
    <xf numFmtId="164" fontId="75" fillId="0" borderId="1" applyAlignment="1" pivotButton="0" quotePrefix="0" xfId="1">
      <alignment horizontal="centerContinuous"/>
    </xf>
    <xf numFmtId="164" fontId="75" fillId="0" borderId="2" applyAlignment="1" pivotButton="0" quotePrefix="0" xfId="1">
      <alignment horizontal="centerContinuous"/>
    </xf>
    <xf numFmtId="164" fontId="75" fillId="0" borderId="3" applyAlignment="1" pivotButton="0" quotePrefix="0" xfId="1">
      <alignment horizontal="centerContinuous"/>
    </xf>
    <xf numFmtId="164" fontId="32" fillId="0" borderId="34" pivotButton="0" quotePrefix="0" xfId="1"/>
    <xf numFmtId="164" fontId="32" fillId="0" borderId="35" pivotButton="0" quotePrefix="0" xfId="1"/>
    <xf numFmtId="172" fontId="29" fillId="0" borderId="0" pivotButton="0" quotePrefix="0" xfId="0"/>
    <xf numFmtId="164" fontId="75" fillId="0" borderId="51" pivotButton="0" quotePrefix="0" xfId="1"/>
    <xf numFmtId="164" fontId="75" fillId="0" borderId="22" pivotButton="0" quotePrefix="0" xfId="1"/>
    <xf numFmtId="164" fontId="29" fillId="0" borderId="54" pivotButton="0" quotePrefix="0" xfId="1"/>
    <xf numFmtId="164" fontId="75" fillId="16" borderId="8" applyAlignment="1" pivotButton="0" quotePrefix="0" xfId="1">
      <alignment horizontal="center"/>
    </xf>
    <xf numFmtId="164" fontId="75" fillId="16" borderId="46" pivotButton="0" quotePrefix="0" xfId="1"/>
    <xf numFmtId="164" fontId="75" fillId="16" borderId="32" pivotButton="0" quotePrefix="0" xfId="1"/>
    <xf numFmtId="164" fontId="41" fillId="0" borderId="9" applyAlignment="1" pivotButton="0" quotePrefix="0" xfId="1">
      <alignment horizontal="left" vertical="top"/>
    </xf>
    <xf numFmtId="164" fontId="32" fillId="0" borderId="52" applyAlignment="1" pivotButton="0" quotePrefix="0" xfId="1">
      <alignment horizontal="left" vertical="top"/>
    </xf>
    <xf numFmtId="164" fontId="75" fillId="21" borderId="2" applyAlignment="1" pivotButton="0" quotePrefix="0" xfId="1">
      <alignment horizontal="center" vertical="center" wrapText="1"/>
    </xf>
    <xf numFmtId="164" fontId="75" fillId="0" borderId="9" applyAlignment="1" pivotButton="0" quotePrefix="0" xfId="1">
      <alignment horizontal="center"/>
    </xf>
    <xf numFmtId="164" fontId="75" fillId="0" borderId="11" applyAlignment="1" pivotButton="0" quotePrefix="0" xfId="1">
      <alignment horizontal="center"/>
    </xf>
    <xf numFmtId="164" fontId="77" fillId="0" borderId="52" applyAlignment="1" pivotButton="0" quotePrefix="0" xfId="1">
      <alignment horizontal="left"/>
    </xf>
    <xf numFmtId="164" fontId="77" fillId="0" borderId="52" applyAlignment="1" pivotButton="0" quotePrefix="0" xfId="1">
      <alignment horizontal="center"/>
    </xf>
    <xf numFmtId="164" fontId="77" fillId="0" borderId="39" applyAlignment="1" pivotButton="0" quotePrefix="0" xfId="1">
      <alignment horizontal="center"/>
    </xf>
    <xf numFmtId="164" fontId="77" fillId="0" borderId="28" applyAlignment="1" pivotButton="0" quotePrefix="0" xfId="1">
      <alignment horizontal="left"/>
    </xf>
    <xf numFmtId="164" fontId="77" fillId="0" borderId="41" applyAlignment="1" pivotButton="0" quotePrefix="0" xfId="1">
      <alignment horizontal="center"/>
    </xf>
    <xf numFmtId="164" fontId="75" fillId="21" borderId="2" pivotButton="0" quotePrefix="0" xfId="1"/>
    <xf numFmtId="164" fontId="41" fillId="0" borderId="1" applyAlignment="1" pivotButton="0" quotePrefix="0" xfId="1">
      <alignment horizontal="right"/>
    </xf>
    <xf numFmtId="164" fontId="41" fillId="21" borderId="2" applyAlignment="1" pivotButton="0" quotePrefix="0" xfId="1">
      <alignment horizontal="right"/>
    </xf>
    <xf numFmtId="167" fontId="68" fillId="0" borderId="9" pivotButton="0" quotePrefix="0" xfId="1"/>
    <xf numFmtId="164" fontId="60" fillId="0" borderId="9" pivotButton="0" quotePrefix="0" xfId="1"/>
    <xf numFmtId="164" fontId="60" fillId="0" borderId="13" pivotButton="0" quotePrefix="0" xfId="1"/>
    <xf numFmtId="168" fontId="68" fillId="0" borderId="9" pivotButton="0" quotePrefix="0" xfId="1"/>
    <xf numFmtId="164" fontId="73" fillId="0" borderId="9" pivotButton="0" quotePrefix="0" xfId="1"/>
    <xf numFmtId="164" fontId="73" fillId="0" borderId="13" pivotButton="0" quotePrefix="0" xfId="1"/>
    <xf numFmtId="167" fontId="73" fillId="0" borderId="9" pivotButton="0" quotePrefix="0" xfId="1"/>
    <xf numFmtId="164" fontId="68" fillId="0" borderId="9" pivotButton="0" quotePrefix="0" xfId="1"/>
    <xf numFmtId="164" fontId="60" fillId="0" borderId="6" pivotButton="0" quotePrefix="0" xfId="1"/>
    <xf numFmtId="0" fontId="40" fillId="0" borderId="3" applyAlignment="1" pivotButton="0" quotePrefix="0" xfId="0">
      <alignment horizontal="center" vertical="center"/>
    </xf>
    <xf numFmtId="164" fontId="38" fillId="0" borderId="9" pivotButton="0" quotePrefix="0" xfId="1"/>
    <xf numFmtId="164" fontId="61" fillId="0" borderId="9" pivotButton="0" quotePrefix="0" xfId="1"/>
    <xf numFmtId="164" fontId="35" fillId="0" borderId="6" applyAlignment="1" pivotButton="0" quotePrefix="0" xfId="1">
      <alignment horizontal="left"/>
    </xf>
    <xf numFmtId="164" fontId="35" fillId="0" borderId="0" applyAlignment="1" pivotButton="0" quotePrefix="0" xfId="1">
      <alignment horizontal="left"/>
    </xf>
    <xf numFmtId="164" fontId="35" fillId="0" borderId="12" applyAlignment="1" pivotButton="0" quotePrefix="0" xfId="1">
      <alignment horizontal="left"/>
    </xf>
    <xf numFmtId="164" fontId="40" fillId="0" borderId="0" applyAlignment="1" pivotButton="0" quotePrefix="0" xfId="1">
      <alignment horizontal="left"/>
    </xf>
    <xf numFmtId="164" fontId="66" fillId="0" borderId="0" pivotButton="0" quotePrefix="0" xfId="0"/>
    <xf numFmtId="164" fontId="75" fillId="21" borderId="3" applyAlignment="1" pivotButton="0" quotePrefix="0" xfId="1">
      <alignment horizontal="center" vertical="center" wrapText="1"/>
    </xf>
    <xf numFmtId="164" fontId="75" fillId="0" borderId="44" applyAlignment="1" pivotButton="0" quotePrefix="0" xfId="1">
      <alignment horizontal="center" vertical="center" wrapText="1"/>
    </xf>
    <xf numFmtId="164" fontId="75" fillId="0" borderId="51" applyAlignment="1" pivotButton="0" quotePrefix="0" xfId="1">
      <alignment horizontal="center" vertical="center" wrapText="1"/>
    </xf>
    <xf numFmtId="164" fontId="75" fillId="0" borderId="22" applyAlignment="1" pivotButton="0" quotePrefix="0" xfId="1">
      <alignment horizontal="center" vertical="center" wrapText="1"/>
    </xf>
    <xf numFmtId="164" fontId="75" fillId="0" borderId="49" applyAlignment="1" pivotButton="0" quotePrefix="0" xfId="1">
      <alignment horizontal="center" vertical="center" wrapText="1"/>
    </xf>
    <xf numFmtId="174" fontId="29" fillId="0" borderId="34" pivotButton="0" quotePrefix="0" xfId="0"/>
    <xf numFmtId="164" fontId="32" fillId="0" borderId="19" pivotButton="0" quotePrefix="0" xfId="1"/>
    <xf numFmtId="164" fontId="32" fillId="0" borderId="30" pivotButton="0" quotePrefix="0" xfId="1"/>
    <xf numFmtId="0" fontId="78" fillId="0" borderId="34" applyAlignment="1" pivotButton="0" quotePrefix="0" xfId="0">
      <alignment horizontal="center"/>
    </xf>
    <xf numFmtId="0" fontId="0" fillId="0" borderId="39" pivotButton="0" quotePrefix="0" xfId="0"/>
    <xf numFmtId="0" fontId="0" fillId="0" borderId="40" pivotButton="0" quotePrefix="0" xfId="0"/>
    <xf numFmtId="164" fontId="77" fillId="0" borderId="25" applyAlignment="1" pivotButton="0" quotePrefix="0" xfId="1">
      <alignment horizontal="center"/>
    </xf>
    <xf numFmtId="164" fontId="32" fillId="0" borderId="52" applyAlignment="1" pivotButton="0" quotePrefix="0" xfId="1">
      <alignment horizontal="left" vertical="top" wrapText="1"/>
    </xf>
    <xf numFmtId="164" fontId="32" fillId="0" borderId="28" applyAlignment="1" pivotButton="0" quotePrefix="0" xfId="1">
      <alignment horizontal="left" vertical="top"/>
    </xf>
    <xf numFmtId="164" fontId="77" fillId="0" borderId="12" applyAlignment="1" pivotButton="0" quotePrefix="0" xfId="1">
      <alignment horizontal="left" indent="1"/>
    </xf>
    <xf numFmtId="164" fontId="91" fillId="0" borderId="25" applyAlignment="1" pivotButton="0" quotePrefix="0" xfId="1">
      <alignment horizontal="left" vertical="top"/>
    </xf>
    <xf numFmtId="164" fontId="93" fillId="0" borderId="8" applyAlignment="1" pivotButton="0" quotePrefix="0" xfId="1">
      <alignment horizontal="center"/>
    </xf>
    <xf numFmtId="164" fontId="95" fillId="0" borderId="15" applyAlignment="1" pivotButton="0" quotePrefix="0" xfId="1">
      <alignment horizontal="left"/>
    </xf>
    <xf numFmtId="164" fontId="95" fillId="0" borderId="0" applyAlignment="1" pivotButton="0" quotePrefix="0" xfId="1">
      <alignment horizontal="left"/>
    </xf>
    <xf numFmtId="0" fontId="80" fillId="0" borderId="8" applyAlignment="1" pivotButton="0" quotePrefix="0" xfId="0">
      <alignment horizontal="left" vertical="center"/>
    </xf>
    <xf numFmtId="0" fontId="80" fillId="0" borderId="2" applyAlignment="1" pivotButton="0" quotePrefix="0" xfId="0">
      <alignment horizontal="left" vertical="center"/>
    </xf>
    <xf numFmtId="0" fontId="80" fillId="0" borderId="8" applyAlignment="1" pivotButton="0" quotePrefix="0" xfId="0">
      <alignment horizontal="left" vertical="center" wrapText="1"/>
    </xf>
    <xf numFmtId="164" fontId="73" fillId="0" borderId="9" applyAlignment="1" pivotButton="0" quotePrefix="0" xfId="1">
      <alignment horizontal="left"/>
    </xf>
    <xf numFmtId="164" fontId="60" fillId="0" borderId="9" applyAlignment="1" pivotButton="0" quotePrefix="0" xfId="1">
      <alignment horizontal="left"/>
    </xf>
    <xf numFmtId="167" fontId="68" fillId="0" borderId="9" applyAlignment="1" pivotButton="0" quotePrefix="0" xfId="1">
      <alignment horizontal="left"/>
    </xf>
    <xf numFmtId="164" fontId="60" fillId="0" borderId="13" applyAlignment="1" pivotButton="0" quotePrefix="0" xfId="1">
      <alignment horizontal="left"/>
    </xf>
    <xf numFmtId="164" fontId="68" fillId="0" borderId="9" applyAlignment="1" pivotButton="0" quotePrefix="0" xfId="1">
      <alignment horizontal="left"/>
    </xf>
    <xf numFmtId="164" fontId="73" fillId="0" borderId="8" applyAlignment="1" pivotButton="0" quotePrefix="0" xfId="1">
      <alignment horizontal="left"/>
    </xf>
    <xf numFmtId="164" fontId="61" fillId="0" borderId="13" pivotButton="0" quotePrefix="0" xfId="1"/>
    <xf numFmtId="170" fontId="61" fillId="0" borderId="0" pivotButton="0" quotePrefix="0" xfId="0"/>
    <xf numFmtId="164" fontId="59" fillId="0" borderId="9" pivotButton="0" quotePrefix="0" xfId="1"/>
    <xf numFmtId="164" fontId="59" fillId="0" borderId="12" pivotButton="0" quotePrefix="0" xfId="1"/>
    <xf numFmtId="164" fontId="68" fillId="0" borderId="12" pivotButton="0" quotePrefix="0" xfId="1"/>
    <xf numFmtId="164" fontId="64" fillId="0" borderId="9" pivotButton="0" quotePrefix="0" xfId="1"/>
    <xf numFmtId="164" fontId="65" fillId="0" borderId="12" applyAlignment="1" pivotButton="0" quotePrefix="0" xfId="1">
      <alignment horizontal="left"/>
    </xf>
    <xf numFmtId="164" fontId="34" fillId="0" borderId="1" applyAlignment="1" pivotButton="0" quotePrefix="0" xfId="1">
      <alignment horizontal="centerContinuous"/>
    </xf>
    <xf numFmtId="164" fontId="34" fillId="0" borderId="2" applyAlignment="1" pivotButton="0" quotePrefix="0" xfId="1">
      <alignment horizontal="centerContinuous"/>
    </xf>
    <xf numFmtId="164" fontId="34" fillId="0" borderId="3" applyAlignment="1" pivotButton="0" quotePrefix="0" xfId="1">
      <alignment horizontal="centerContinuous"/>
    </xf>
    <xf numFmtId="164" fontId="34" fillId="0" borderId="31" applyAlignment="1" pivotButton="0" quotePrefix="0" xfId="1">
      <alignment horizontal="center" vertical="center" wrapText="1"/>
    </xf>
    <xf numFmtId="164" fontId="34" fillId="0" borderId="32" applyAlignment="1" pivotButton="0" quotePrefix="0" xfId="1">
      <alignment horizontal="center" vertical="center" wrapText="1"/>
    </xf>
    <xf numFmtId="164" fontId="34" fillId="0" borderId="33" applyAlignment="1" pivotButton="0" quotePrefix="0" xfId="1">
      <alignment horizontal="center" vertical="center" wrapText="1"/>
    </xf>
    <xf numFmtId="164" fontId="34" fillId="0" borderId="12" applyAlignment="1" pivotButton="0" quotePrefix="0" xfId="1">
      <alignment horizontal="center" vertical="center" wrapText="1"/>
    </xf>
    <xf numFmtId="164" fontId="34" fillId="0" borderId="21" applyAlignment="1" pivotButton="0" quotePrefix="0" xfId="1">
      <alignment horizontal="center" vertical="center" wrapText="1"/>
    </xf>
    <xf numFmtId="164" fontId="34" fillId="0" borderId="20" applyAlignment="1" pivotButton="0" quotePrefix="0" xfId="1">
      <alignment horizontal="center" vertical="center" wrapText="1"/>
    </xf>
    <xf numFmtId="164" fontId="34" fillId="0" borderId="13" applyAlignment="1" pivotButton="0" quotePrefix="0" xfId="1">
      <alignment horizontal="center" vertical="center" wrapText="1"/>
    </xf>
    <xf numFmtId="164" fontId="34" fillId="0" borderId="12" applyAlignment="1" pivotButton="0" quotePrefix="0" xfId="1">
      <alignment horizontal="left"/>
    </xf>
    <xf numFmtId="164" fontId="35" fillId="0" borderId="21" applyAlignment="1" pivotButton="0" quotePrefix="0" xfId="1">
      <alignment horizontal="center"/>
    </xf>
    <xf numFmtId="164" fontId="0" fillId="0" borderId="20" pivotButton="0" quotePrefix="0" xfId="1"/>
    <xf numFmtId="164" fontId="0" fillId="0" borderId="13" pivotButton="0" quotePrefix="0" xfId="1"/>
    <xf numFmtId="170" fontId="23" fillId="0" borderId="0" pivotButton="0" quotePrefix="0" xfId="0"/>
    <xf numFmtId="164" fontId="34" fillId="0" borderId="31" applyAlignment="1" pivotButton="0" quotePrefix="0" xfId="1">
      <alignment horizontal="center"/>
    </xf>
    <xf numFmtId="164" fontId="34" fillId="0" borderId="32" pivotButton="0" quotePrefix="0" xfId="1"/>
    <xf numFmtId="164" fontId="34" fillId="0" borderId="33" pivotButton="0" quotePrefix="0" xfId="1"/>
    <xf numFmtId="164" fontId="34" fillId="0" borderId="8" applyAlignment="1" pivotButton="0" quotePrefix="0" xfId="1">
      <alignment horizontal="center"/>
    </xf>
    <xf numFmtId="164" fontId="34" fillId="0" borderId="0" pivotButton="0" quotePrefix="0" xfId="1"/>
    <xf numFmtId="164" fontId="0" fillId="0" borderId="0" pivotButton="0" quotePrefix="0" xfId="1"/>
    <xf numFmtId="164" fontId="34" fillId="0" borderId="0" applyAlignment="1" pivotButton="0" quotePrefix="0" xfId="1">
      <alignment horizontal="center"/>
    </xf>
    <xf numFmtId="164" fontId="34" fillId="0" borderId="16" applyAlignment="1" pivotButton="0" quotePrefix="0" xfId="1">
      <alignment horizontal="center" vertical="center" wrapText="1"/>
    </xf>
    <xf numFmtId="164" fontId="34" fillId="0" borderId="17" applyAlignment="1" pivotButton="0" quotePrefix="0" xfId="1">
      <alignment horizontal="center" vertical="center" wrapText="1"/>
    </xf>
    <xf numFmtId="164" fontId="34" fillId="0" borderId="18" applyAlignment="1" pivotButton="0" quotePrefix="0" xfId="1">
      <alignment horizontal="center" vertical="center" wrapText="1"/>
    </xf>
    <xf numFmtId="164" fontId="31" fillId="0" borderId="12" applyAlignment="1" pivotButton="0" quotePrefix="0" xfId="1">
      <alignment horizontal="left" vertical="top"/>
    </xf>
    <xf numFmtId="164" fontId="31" fillId="0" borderId="8" applyAlignment="1" pivotButton="0" quotePrefix="0" xfId="1">
      <alignment horizontal="left" vertical="top"/>
    </xf>
    <xf numFmtId="164" fontId="35" fillId="0" borderId="20" applyAlignment="1" pivotButton="0" quotePrefix="0" xfId="1">
      <alignment horizontal="center"/>
    </xf>
    <xf numFmtId="164" fontId="31" fillId="0" borderId="12" applyAlignment="1" pivotButton="0" quotePrefix="0" xfId="1">
      <alignment horizontal="left" vertical="top" wrapText="1"/>
    </xf>
    <xf numFmtId="164" fontId="31" fillId="0" borderId="25" applyAlignment="1" pivotButton="0" quotePrefix="0" xfId="1">
      <alignment horizontal="left" vertical="top"/>
    </xf>
    <xf numFmtId="164" fontId="34" fillId="0" borderId="23" applyAlignment="1" pivotButton="0" quotePrefix="0" xfId="1">
      <alignment horizontal="left"/>
    </xf>
    <xf numFmtId="164" fontId="34" fillId="0" borderId="24" pivotButton="0" quotePrefix="0" xfId="1"/>
    <xf numFmtId="164" fontId="34" fillId="0" borderId="0" applyAlignment="1" pivotButton="0" quotePrefix="0" xfId="1">
      <alignment horizontal="left"/>
    </xf>
    <xf numFmtId="164" fontId="34" fillId="0" borderId="8" applyAlignment="1" pivotButton="0" quotePrefix="0" xfId="1">
      <alignment horizontal="center" vertical="center"/>
    </xf>
    <xf numFmtId="164" fontId="34" fillId="0" borderId="8" applyAlignment="1" pivotButton="0" quotePrefix="0" xfId="1">
      <alignment horizontal="center" vertical="center" wrapText="1"/>
    </xf>
    <xf numFmtId="164" fontId="34" fillId="0" borderId="12" applyAlignment="1" pivotButton="0" quotePrefix="0" xfId="1">
      <alignment horizontal="center"/>
    </xf>
    <xf numFmtId="164" fontId="34" fillId="0" borderId="4" applyAlignment="1" pivotButton="0" quotePrefix="0" xfId="1">
      <alignment horizontal="center"/>
    </xf>
    <xf numFmtId="164" fontId="34" fillId="0" borderId="5" applyAlignment="1" pivotButton="0" quotePrefix="0" xfId="1">
      <alignment horizontal="center"/>
    </xf>
    <xf numFmtId="164" fontId="34" fillId="0" borderId="26" applyAlignment="1" pivotButton="0" quotePrefix="0" xfId="1">
      <alignment horizontal="center"/>
    </xf>
    <xf numFmtId="164" fontId="35" fillId="0" borderId="9" applyAlignment="1" pivotButton="0" quotePrefix="0" xfId="1">
      <alignment horizontal="center"/>
    </xf>
    <xf numFmtId="164" fontId="35" fillId="0" borderId="13" applyAlignment="1" pivotButton="0" quotePrefix="0" xfId="1">
      <alignment horizontal="center"/>
    </xf>
    <xf numFmtId="164" fontId="35" fillId="0" borderId="26" applyAlignment="1" pivotButton="0" quotePrefix="0" xfId="1">
      <alignment horizontal="center"/>
    </xf>
    <xf numFmtId="164" fontId="35" fillId="0" borderId="0" applyAlignment="1" pivotButton="0" quotePrefix="0" xfId="1">
      <alignment horizontal="center"/>
    </xf>
    <xf numFmtId="164" fontId="35" fillId="0" borderId="12" applyAlignment="1" pivotButton="0" quotePrefix="0" xfId="1">
      <alignment horizontal="left" indent="1"/>
    </xf>
    <xf numFmtId="164" fontId="35" fillId="0" borderId="27" applyAlignment="1" pivotButton="0" quotePrefix="0" xfId="1">
      <alignment horizontal="left"/>
    </xf>
    <xf numFmtId="164" fontId="35" fillId="0" borderId="28" applyAlignment="1" pivotButton="0" quotePrefix="0" xfId="1">
      <alignment horizontal="center"/>
    </xf>
    <xf numFmtId="164" fontId="35" fillId="0" borderId="30" applyAlignment="1" pivotButton="0" quotePrefix="0" xfId="1">
      <alignment horizontal="center"/>
    </xf>
    <xf numFmtId="164" fontId="31" fillId="0" borderId="0" pivotButton="0" quotePrefix="0" xfId="1"/>
    <xf numFmtId="164" fontId="34" fillId="0" borderId="1" applyAlignment="1" pivotButton="0" quotePrefix="0" xfId="1">
      <alignment horizontal="left"/>
    </xf>
    <xf numFmtId="164" fontId="34" fillId="0" borderId="8" pivotButton="0" quotePrefix="0" xfId="1"/>
    <xf numFmtId="165" fontId="0" fillId="0" borderId="0" pivotButton="0" quotePrefix="0" xfId="1"/>
    <xf numFmtId="164" fontId="35" fillId="0" borderId="6" applyAlignment="1" pivotButton="0" quotePrefix="0" xfId="1">
      <alignment horizontal="center"/>
    </xf>
    <xf numFmtId="164" fontId="31" fillId="0" borderId="8" applyAlignment="1" pivotButton="0" quotePrefix="0" xfId="1">
      <alignment horizontal="right"/>
    </xf>
    <xf numFmtId="164" fontId="31" fillId="0" borderId="0" applyAlignment="1" pivotButton="0" quotePrefix="0" xfId="1">
      <alignment horizontal="right"/>
    </xf>
    <xf numFmtId="164" fontId="75" fillId="23" borderId="8" applyAlignment="1" pivotButton="0" quotePrefix="0" xfId="1">
      <alignment horizontal="center" vertical="center" wrapText="1"/>
    </xf>
    <xf numFmtId="164" fontId="75" fillId="0" borderId="0" applyAlignment="1" pivotButton="0" quotePrefix="0" xfId="1">
      <alignment horizontal="center" vertical="center" wrapText="1"/>
    </xf>
    <xf numFmtId="164" fontId="75" fillId="0" borderId="12" applyAlignment="1" pivotButton="0" quotePrefix="0" xfId="1">
      <alignment horizontal="center" vertical="center" wrapText="1"/>
    </xf>
    <xf numFmtId="164" fontId="75" fillId="0" borderId="16" applyAlignment="1" pivotButton="0" quotePrefix="0" xfId="1">
      <alignment horizontal="left"/>
    </xf>
    <xf numFmtId="164" fontId="77" fillId="0" borderId="17" applyAlignment="1" pivotButton="0" quotePrefix="0" xfId="1">
      <alignment horizontal="center"/>
    </xf>
    <xf numFmtId="164" fontId="77" fillId="0" borderId="18" applyAlignment="1" pivotButton="0" quotePrefix="0" xfId="1">
      <alignment horizontal="center"/>
    </xf>
    <xf numFmtId="164" fontId="75" fillId="0" borderId="47" applyAlignment="1" pivotButton="0" quotePrefix="0" xfId="1">
      <alignment horizontal="left"/>
    </xf>
    <xf numFmtId="164" fontId="75" fillId="7" borderId="47" applyAlignment="1" pivotButton="0" quotePrefix="0" xfId="1">
      <alignment horizontal="left"/>
    </xf>
    <xf numFmtId="164" fontId="32" fillId="7" borderId="34" applyAlignment="1" pivotButton="0" quotePrefix="0" xfId="1">
      <alignment horizontal="center"/>
    </xf>
    <xf numFmtId="164" fontId="75" fillId="16" borderId="47" applyAlignment="1" pivotButton="0" quotePrefix="0" xfId="1">
      <alignment horizontal="left"/>
    </xf>
    <xf numFmtId="164" fontId="32" fillId="0" borderId="34" applyAlignment="1" pivotButton="0" quotePrefix="0" xfId="1">
      <alignment horizontal="center"/>
    </xf>
    <xf numFmtId="164" fontId="32" fillId="0" borderId="35" applyAlignment="1" pivotButton="0" quotePrefix="0" xfId="1">
      <alignment horizontal="center"/>
    </xf>
    <xf numFmtId="164" fontId="82" fillId="0" borderId="21" applyAlignment="1" pivotButton="0" quotePrefix="0" xfId="1">
      <alignment horizontal="center"/>
    </xf>
    <xf numFmtId="164" fontId="32" fillId="0" borderId="24" applyAlignment="1" pivotButton="0" quotePrefix="0" xfId="1">
      <alignment horizontal="center"/>
    </xf>
    <xf numFmtId="164" fontId="32" fillId="0" borderId="53" applyAlignment="1" pivotButton="0" quotePrefix="0" xfId="1">
      <alignment horizontal="center"/>
    </xf>
    <xf numFmtId="164" fontId="32" fillId="0" borderId="21" applyAlignment="1" pivotButton="0" quotePrefix="0" xfId="1">
      <alignment horizontal="center"/>
    </xf>
    <xf numFmtId="164" fontId="29" fillId="0" borderId="17" pivotButton="0" quotePrefix="0" xfId="1"/>
    <xf numFmtId="164" fontId="29" fillId="0" borderId="18" pivotButton="0" quotePrefix="0" xfId="1"/>
    <xf numFmtId="164" fontId="75" fillId="7" borderId="23" applyAlignment="1" pivotButton="0" quotePrefix="0" xfId="1">
      <alignment horizontal="left"/>
    </xf>
    <xf numFmtId="164" fontId="32" fillId="7" borderId="24" applyAlignment="1" pivotButton="0" quotePrefix="0" xfId="1">
      <alignment horizontal="center"/>
    </xf>
    <xf numFmtId="164" fontId="29" fillId="0" borderId="24" pivotButton="0" quotePrefix="0" xfId="1"/>
    <xf numFmtId="164" fontId="29" fillId="0" borderId="53" pivotButton="0" quotePrefix="0" xfId="1"/>
    <xf numFmtId="164" fontId="75" fillId="16" borderId="23" applyAlignment="1" pivotButton="0" quotePrefix="0" xfId="1">
      <alignment horizontal="left"/>
    </xf>
    <xf numFmtId="164" fontId="80" fillId="23" borderId="31" applyAlignment="1" pivotButton="0" quotePrefix="0" xfId="1">
      <alignment horizontal="center"/>
    </xf>
    <xf numFmtId="164" fontId="80" fillId="23" borderId="32" pivotButton="0" quotePrefix="0" xfId="1"/>
    <xf numFmtId="164" fontId="80" fillId="23" borderId="33" pivotButton="0" quotePrefix="0" xfId="1"/>
    <xf numFmtId="164" fontId="75" fillId="18" borderId="0" applyAlignment="1" pivotButton="0" quotePrefix="0" xfId="1">
      <alignment horizontal="center"/>
    </xf>
    <xf numFmtId="164" fontId="75" fillId="18" borderId="17" applyAlignment="1" pivotButton="0" quotePrefix="0" xfId="1">
      <alignment horizontal="center" vertical="center" wrapText="1"/>
    </xf>
    <xf numFmtId="164" fontId="75" fillId="17" borderId="34" pivotButton="0" quotePrefix="0" xfId="1"/>
    <xf numFmtId="164" fontId="75" fillId="16" borderId="34" pivotButton="0" quotePrefix="0" xfId="1"/>
    <xf numFmtId="164" fontId="75" fillId="7" borderId="34" pivotButton="0" quotePrefix="0" xfId="1"/>
    <xf numFmtId="170" fontId="41" fillId="0" borderId="0" pivotButton="0" quotePrefix="0" xfId="0"/>
    <xf numFmtId="164" fontId="75" fillId="15" borderId="6" applyAlignment="1" pivotButton="0" quotePrefix="0" xfId="1">
      <alignment horizontal="center"/>
    </xf>
    <xf numFmtId="0" fontId="29" fillId="0" borderId="8" applyAlignment="1" pivotButton="0" quotePrefix="0" xfId="0">
      <alignment horizontal="center"/>
    </xf>
    <xf numFmtId="164" fontId="41" fillId="0" borderId="8" pivotButton="0" quotePrefix="0" xfId="0"/>
    <xf numFmtId="164" fontId="80" fillId="21" borderId="8" applyAlignment="1" pivotButton="0" quotePrefix="0" xfId="1">
      <alignment horizontal="center"/>
    </xf>
    <xf numFmtId="164" fontId="80" fillId="21" borderId="8" applyAlignment="1" pivotButton="0" quotePrefix="0" xfId="1">
      <alignment horizontal="center" vertical="center" wrapText="1"/>
    </xf>
    <xf numFmtId="164" fontId="80" fillId="21" borderId="46" applyAlignment="1" pivotButton="0" quotePrefix="0" xfId="1">
      <alignment horizontal="center" vertical="center" wrapText="1"/>
    </xf>
    <xf numFmtId="164" fontId="80" fillId="21" borderId="32" applyAlignment="1" pivotButton="0" quotePrefix="0" xfId="1">
      <alignment horizontal="center" vertical="center" wrapText="1"/>
    </xf>
    <xf numFmtId="164" fontId="80" fillId="21" borderId="33" applyAlignment="1" pivotButton="0" quotePrefix="0" xfId="1">
      <alignment horizontal="center" vertical="center" wrapText="1"/>
    </xf>
    <xf numFmtId="174" fontId="29" fillId="0" borderId="0" pivotButton="0" quotePrefix="0" xfId="0"/>
    <xf numFmtId="164" fontId="80" fillId="21" borderId="8" applyAlignment="1" pivotButton="0" quotePrefix="0" xfId="1">
      <alignment horizontal="left"/>
    </xf>
    <xf numFmtId="164" fontId="80" fillId="21" borderId="46" pivotButton="0" quotePrefix="0" xfId="1"/>
    <xf numFmtId="164" fontId="80" fillId="21" borderId="8" applyAlignment="1" pivotButton="0" quotePrefix="0" xfId="1">
      <alignment horizontal="center" vertical="center"/>
    </xf>
    <xf numFmtId="164" fontId="80" fillId="21" borderId="4" applyAlignment="1" pivotButton="0" quotePrefix="0" xfId="1">
      <alignment horizontal="center" vertical="center" wrapText="1"/>
    </xf>
    <xf numFmtId="164" fontId="29" fillId="0" borderId="0" applyAlignment="1" pivotButton="0" quotePrefix="0" xfId="1">
      <alignment horizontal="center"/>
    </xf>
    <xf numFmtId="164" fontId="77" fillId="0" borderId="12" applyAlignment="1" pivotButton="0" quotePrefix="0" xfId="1">
      <alignment horizontal="left" wrapText="1"/>
    </xf>
    <xf numFmtId="164" fontId="29" fillId="0" borderId="0" applyAlignment="1" pivotButton="0" quotePrefix="0" xfId="1">
      <alignment wrapText="1"/>
    </xf>
    <xf numFmtId="164" fontId="29" fillId="0" borderId="0" applyAlignment="1" pivotButton="0" quotePrefix="0" xfId="1">
      <alignment vertical="center"/>
    </xf>
    <xf numFmtId="164" fontId="77" fillId="0" borderId="9" applyAlignment="1" pivotButton="0" quotePrefix="0" xfId="1">
      <alignment horizontal="left"/>
    </xf>
    <xf numFmtId="164" fontId="77" fillId="0" borderId="4" applyAlignment="1" pivotButton="0" quotePrefix="0" xfId="1">
      <alignment horizontal="center"/>
    </xf>
    <xf numFmtId="164" fontId="77" fillId="0" borderId="7" applyAlignment="1" pivotButton="0" quotePrefix="0" xfId="1">
      <alignment horizontal="center"/>
    </xf>
    <xf numFmtId="164" fontId="77" fillId="0" borderId="0" pivotButton="0" quotePrefix="0" xfId="1"/>
    <xf numFmtId="164" fontId="80" fillId="21" borderId="1" applyAlignment="1" pivotButton="0" quotePrefix="0" xfId="1">
      <alignment horizontal="left"/>
    </xf>
    <xf numFmtId="164" fontId="80" fillId="21" borderId="8" pivotButton="0" quotePrefix="0" xfId="1"/>
    <xf numFmtId="171" fontId="29" fillId="0" borderId="0" pivotButton="0" quotePrefix="0" xfId="0"/>
    <xf numFmtId="171" fontId="41" fillId="0" borderId="0" pivotButton="0" quotePrefix="0" xfId="0"/>
    <xf numFmtId="164" fontId="41" fillId="13" borderId="34" pivotButton="0" quotePrefix="0" xfId="1"/>
    <xf numFmtId="164" fontId="29" fillId="13" borderId="34" pivotButton="0" quotePrefix="0" xfId="1"/>
    <xf numFmtId="164" fontId="92" fillId="14" borderId="34" pivotButton="0" quotePrefix="0" xfId="1"/>
    <xf numFmtId="174" fontId="41" fillId="0" borderId="0" pivotButton="0" quotePrefix="0" xfId="0"/>
    <xf numFmtId="0" fontId="30" fillId="19" borderId="8" applyAlignment="1" pivotButton="0" quotePrefix="0" xfId="0">
      <alignment horizontal="center"/>
    </xf>
    <xf numFmtId="17" fontId="31" fillId="17" borderId="8" applyAlignment="1" pivotButton="0" quotePrefix="0" xfId="0">
      <alignment horizontal="center"/>
    </xf>
    <xf numFmtId="0" fontId="0" fillId="17" borderId="8" applyAlignment="1" pivotButton="0" quotePrefix="0" xfId="0">
      <alignment horizontal="center" vertical="center" wrapText="1"/>
    </xf>
    <xf numFmtId="0" fontId="63" fillId="17" borderId="3" applyAlignment="1" pivotButton="0" quotePrefix="0" xfId="0">
      <alignment horizontal="center" vertical="center"/>
    </xf>
    <xf numFmtId="0" fontId="0" fillId="17" borderId="8" applyAlignment="1" pivotButton="0" quotePrefix="0" xfId="0">
      <alignment horizontal="center" vertical="center"/>
    </xf>
    <xf numFmtId="164" fontId="29" fillId="0" borderId="9" pivotButton="0" quotePrefix="0" xfId="0"/>
    <xf numFmtId="164" fontId="29" fillId="19" borderId="9" pivotButton="0" quotePrefix="0" xfId="1"/>
    <xf numFmtId="164" fontId="53" fillId="0" borderId="9" pivotButton="0" quotePrefix="0" xfId="1"/>
    <xf numFmtId="164" fontId="29" fillId="0" borderId="44" pivotButton="0" quotePrefix="0" xfId="1"/>
    <xf numFmtId="167" fontId="31" fillId="0" borderId="34" pivotButton="0" quotePrefix="0" xfId="0"/>
    <xf numFmtId="169" fontId="51" fillId="0" borderId="0" applyAlignment="1" pivotButton="0" quotePrefix="0" xfId="9">
      <alignment horizontal="right" vertical="top"/>
    </xf>
    <xf numFmtId="167" fontId="45" fillId="2" borderId="0" applyAlignment="1" pivotButton="0" quotePrefix="0" xfId="9">
      <alignment horizontal="right" vertical="top"/>
    </xf>
    <xf numFmtId="168" fontId="45" fillId="0" borderId="0" applyAlignment="1" pivotButton="0" quotePrefix="0" xfId="9">
      <alignment horizontal="right" vertical="top"/>
    </xf>
    <xf numFmtId="169" fontId="51" fillId="2" borderId="0" applyAlignment="1" pivotButton="0" quotePrefix="0" xfId="9">
      <alignment horizontal="right" vertical="top"/>
    </xf>
    <xf numFmtId="168" fontId="45" fillId="2" borderId="0" applyAlignment="1" pivotButton="0" quotePrefix="0" xfId="16">
      <alignment horizontal="right" vertical="top"/>
    </xf>
    <xf numFmtId="167" fontId="45" fillId="0" borderId="0" applyAlignment="1" pivotButton="0" quotePrefix="0" xfId="9">
      <alignment horizontal="right" vertical="top"/>
    </xf>
    <xf numFmtId="168" fontId="45" fillId="0" borderId="0" applyAlignment="1" pivotButton="0" quotePrefix="0" xfId="16">
      <alignment horizontal="right" vertical="top"/>
    </xf>
    <xf numFmtId="0" fontId="0" fillId="0" borderId="41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69" pivotButton="0" quotePrefix="0" xfId="0"/>
    <xf numFmtId="164" fontId="0" fillId="0" borderId="6" pivotButton="0" quotePrefix="0" xfId="1"/>
    <xf numFmtId="0" fontId="0" fillId="17" borderId="3" applyAlignment="1" pivotButton="0" quotePrefix="0" xfId="0">
      <alignment horizontal="center" vertical="center"/>
    </xf>
    <xf numFmtId="167" fontId="45" fillId="0" borderId="0" applyAlignment="1" pivotButton="0" quotePrefix="0" xfId="5">
      <alignment horizontal="right" vertical="top"/>
    </xf>
    <xf numFmtId="168" fontId="45" fillId="0" borderId="0" applyAlignment="1" pivotButton="0" quotePrefix="0" xfId="5">
      <alignment horizontal="right" vertical="top"/>
    </xf>
    <xf numFmtId="167" fontId="45" fillId="2" borderId="0" applyAlignment="1" pivotButton="0" quotePrefix="0" xfId="5">
      <alignment horizontal="right" vertical="top"/>
    </xf>
    <xf numFmtId="168" fontId="45" fillId="2" borderId="0" applyAlignment="1" pivotButton="0" quotePrefix="0" xfId="5">
      <alignment horizontal="right" vertical="top"/>
    </xf>
    <xf numFmtId="167" fontId="46" fillId="0" borderId="41" applyAlignment="1" pivotButton="0" quotePrefix="0" xfId="5">
      <alignment horizontal="right" vertical="top"/>
    </xf>
    <xf numFmtId="168" fontId="46" fillId="0" borderId="41" applyAlignment="1" pivotButton="0" quotePrefix="0" xfId="5">
      <alignment horizontal="right" vertical="top"/>
    </xf>
    <xf numFmtId="168" fontId="46" fillId="0" borderId="0" applyAlignment="1" pivotButton="0" quotePrefix="0" xfId="5">
      <alignment horizontal="right" vertical="top"/>
    </xf>
    <xf numFmtId="167" fontId="46" fillId="0" borderId="0" applyAlignment="1" pivotButton="0" quotePrefix="0" xfId="5">
      <alignment horizontal="right" vertical="top"/>
    </xf>
    <xf numFmtId="167" fontId="45" fillId="0" borderId="39" applyAlignment="1" pivotButton="0" quotePrefix="0" xfId="5">
      <alignment horizontal="right" vertical="top"/>
    </xf>
    <xf numFmtId="166" fontId="48" fillId="0" borderId="34" pivotButton="0" quotePrefix="0" xfId="6"/>
    <xf numFmtId="166" fontId="48" fillId="0" borderId="34" applyAlignment="1" pivotButton="0" quotePrefix="0" xfId="6">
      <alignment vertical="top"/>
    </xf>
    <xf numFmtId="166" fontId="48" fillId="0" borderId="34" applyAlignment="1" pivotButton="0" quotePrefix="0" xfId="6">
      <alignment horizontal="right" vertical="top"/>
    </xf>
    <xf numFmtId="166" fontId="48" fillId="4" borderId="34" pivotButton="0" quotePrefix="0" xfId="6"/>
    <xf numFmtId="166" fontId="48" fillId="4" borderId="34" applyAlignment="1" pivotButton="0" quotePrefix="0" xfId="6">
      <alignment horizontal="right" vertical="top"/>
    </xf>
    <xf numFmtId="0" fontId="48" fillId="0" borderId="34" applyAlignment="1" pivotButton="0" quotePrefix="0" xfId="5">
      <alignment horizontal="center"/>
    </xf>
    <xf numFmtId="166" fontId="48" fillId="0" borderId="34" pivotButton="0" quotePrefix="0" xfId="5"/>
  </cellXfs>
  <cellStyles count="105">
    <cellStyle name="Normal" xfId="0" builtinId="0"/>
    <cellStyle name="Comma" xfId="1" builtinId="3"/>
    <cellStyle name="Percent" xfId="2" builtinId="5"/>
    <cellStyle name="Hyperlink" xfId="3" builtinId="8"/>
    <cellStyle name="Comma 2" xfId="4"/>
    <cellStyle name="Normal 2" xfId="5"/>
    <cellStyle name="Comma 3" xfId="6"/>
    <cellStyle name="Normal 3" xfId="7"/>
    <cellStyle name="Normal 4" xfId="8"/>
    <cellStyle name="Normal 5" xfId="9"/>
    <cellStyle name="Comma 4" xfId="10"/>
    <cellStyle name="Percent 2" xfId="11"/>
    <cellStyle name="Comma 2 2" xfId="12"/>
    <cellStyle name="Normal 2 2" xfId="13"/>
    <cellStyle name="Comma 3 2" xfId="14"/>
    <cellStyle name="Normal 3 2" xfId="15"/>
    <cellStyle name="Normal 4 2" xfId="16"/>
    <cellStyle name="Normal 6" xfId="17"/>
    <cellStyle name="Normal 7" xfId="18"/>
    <cellStyle name="Comma 5" xfId="19"/>
    <cellStyle name="Normal 8" xfId="20"/>
    <cellStyle name="Currency 2" xfId="21"/>
    <cellStyle name="Normal 9" xfId="22"/>
    <cellStyle name="Normal 10" xfId="23"/>
    <cellStyle name="Normal 11" xfId="24"/>
    <cellStyle name="Normal 12" xfId="25"/>
    <cellStyle name="Comma 6" xfId="26"/>
    <cellStyle name="Percent 3" xfId="27"/>
    <cellStyle name="Comma 2 3" xfId="28"/>
    <cellStyle name="Normal 2 3" xfId="29"/>
    <cellStyle name="Comma 3 3" xfId="30"/>
    <cellStyle name="Normal 3 3" xfId="31"/>
    <cellStyle name="Normal 4 3" xfId="32"/>
    <cellStyle name="Normal 5 2" xfId="33"/>
    <cellStyle name="Comma 4 2" xfId="34"/>
    <cellStyle name="Percent 2 2" xfId="35"/>
    <cellStyle name="Comma 2 2 2" xfId="36"/>
    <cellStyle name="Normal 2 2 2" xfId="37"/>
    <cellStyle name="Comma 3 2 2" xfId="38"/>
    <cellStyle name="Normal 3 2 2" xfId="39"/>
    <cellStyle name="Normal 4 2 2" xfId="40"/>
    <cellStyle name="Normal 6 2" xfId="41"/>
    <cellStyle name="Normal 7 2" xfId="42"/>
    <cellStyle name="Comma 5 2" xfId="43"/>
    <cellStyle name="Normal 8 2" xfId="44"/>
    <cellStyle name="Currency 2 2" xfId="45"/>
    <cellStyle name="Normal 9 2" xfId="46"/>
    <cellStyle name="Normal 10 2" xfId="47"/>
    <cellStyle name="Normal 11 2" xfId="48"/>
    <cellStyle name="Normal 13" xfId="49"/>
    <cellStyle name="Normal 14" xfId="50"/>
    <cellStyle name="Normal 15" xfId="51"/>
    <cellStyle name="Normal 16" xfId="52"/>
    <cellStyle name="Comma 7" xfId="53"/>
    <cellStyle name="Normal 17" xfId="54"/>
    <cellStyle name="Comma 2 4" xfId="55"/>
    <cellStyle name="Normal 2 4" xfId="56"/>
    <cellStyle name="Comma 3 4" xfId="57"/>
    <cellStyle name="Normal 3 4" xfId="58"/>
    <cellStyle name="Normal 4 4" xfId="59"/>
    <cellStyle name="Normal 5 3" xfId="60"/>
    <cellStyle name="Comma 4 3" xfId="61"/>
    <cellStyle name="Percent 2 3" xfId="62"/>
    <cellStyle name="Comma 2 2 3" xfId="63"/>
    <cellStyle name="Normal 2 2 3" xfId="64"/>
    <cellStyle name="Comma 3 2 3" xfId="65"/>
    <cellStyle name="Normal 3 2 3" xfId="66"/>
    <cellStyle name="Normal 4 2 3" xfId="67"/>
    <cellStyle name="Normal 6 3" xfId="68"/>
    <cellStyle name="Normal 7 3" xfId="69"/>
    <cellStyle name="Comma 5 3" xfId="70"/>
    <cellStyle name="Normal 8 3" xfId="71"/>
    <cellStyle name="Currency 2 3" xfId="72"/>
    <cellStyle name="Normal 9 3" xfId="73"/>
    <cellStyle name="Normal 10 3" xfId="74"/>
    <cellStyle name="Normal 11 3" xfId="75"/>
    <cellStyle name="Normal 12 2" xfId="76"/>
    <cellStyle name="Comma 6 2" xfId="77"/>
    <cellStyle name="Percent 3 2" xfId="78"/>
    <cellStyle name="Comma 2 3 2" xfId="79"/>
    <cellStyle name="Normal 2 3 2" xfId="80"/>
    <cellStyle name="Comma 3 3 2" xfId="81"/>
    <cellStyle name="Normal 3 3 2" xfId="82"/>
    <cellStyle name="Normal 4 3 2" xfId="83"/>
    <cellStyle name="Normal 5 2 2" xfId="84"/>
    <cellStyle name="Comma 4 2 2" xfId="85"/>
    <cellStyle name="Percent 2 2 2" xfId="86"/>
    <cellStyle name="Comma 2 2 2 2" xfId="87"/>
    <cellStyle name="Normal 2 2 2 2" xfId="88"/>
    <cellStyle name="Comma 3 2 2 2" xfId="89"/>
    <cellStyle name="Normal 3 2 2 2" xfId="90"/>
    <cellStyle name="Normal 4 2 2 2" xfId="91"/>
    <cellStyle name="Normal 6 2 2" xfId="92"/>
    <cellStyle name="Normal 7 2 2" xfId="93"/>
    <cellStyle name="Comma 5 2 2" xfId="94"/>
    <cellStyle name="Normal 8 2 2" xfId="95"/>
    <cellStyle name="Currency 2 2 2" xfId="96"/>
    <cellStyle name="Normal 9 2 2" xfId="97"/>
    <cellStyle name="Normal 10 2 2" xfId="98"/>
    <cellStyle name="Normal 11 2 2" xfId="99"/>
    <cellStyle name="Normal 13 2" xfId="100"/>
    <cellStyle name="Normal 14 2" xfId="101"/>
    <cellStyle name="Normal 15 2" xfId="102"/>
    <cellStyle name="Normal 18" xfId="103"/>
    <cellStyle name="Normal 19" xfId="104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160</row>
      <rowOff>0</rowOff>
    </from>
    <to>
      <col>7</col>
      <colOff>839936</colOff>
      <row>200</row>
      <rowOff>142521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31992794"/>
          <a:ext cx="13009524" cy="73142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120</row>
      <rowOff>0</rowOff>
    </from>
    <to>
      <col>7</col>
      <colOff>833852</colOff>
      <row>160</row>
      <rowOff>49194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23790088"/>
          <a:ext cx="13003440" cy="72209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600075</colOff>
      <row>103</row>
      <rowOff>38100</rowOff>
    </from>
    <to>
      <col>12</col>
      <colOff>160299</colOff>
      <row>143</row>
      <rowOff>113386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0075" y="19792950"/>
          <a:ext cx="13009524" cy="73142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Relationship Type="http://schemas.openxmlformats.org/officeDocument/2006/relationships/drawing" Target="/xl/drawings/drawing1.xml" Id="rId3"/></Relationships>
</file>

<file path=xl/worksheets/_rels/sheet5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Relationship Type="http://schemas.openxmlformats.org/officeDocument/2006/relationships/hyperlink" Target="mailto:SGST@%209%25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Relationship Type="http://schemas.openxmlformats.org/officeDocument/2006/relationships/drawing" Target="/xl/drawings/drawing2.xml" Id="rId3"/></Relationships>
</file>

<file path=xl/worksheets/_rels/sheet9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Relationship Type="http://schemas.openxmlformats.org/officeDocument/2006/relationships/hyperlink" Target="mailto:SGST@%209%25" TargetMode="External" Id="rId3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H57"/>
  <sheetViews>
    <sheetView zoomScale="67" zoomScaleNormal="80" zoomScaleSheetLayoutView="70" workbookViewId="0">
      <pane xSplit="5" ySplit="8" topLeftCell="F26" activePane="bottomRight" state="frozen"/>
      <selection activeCell="A77" sqref="A77:E77"/>
      <selection pane="topRight" activeCell="A77" sqref="A77:E77"/>
      <selection pane="bottomLeft" activeCell="A77" sqref="A77:E77"/>
      <selection pane="bottomRight" activeCell="A61" sqref="A61"/>
    </sheetView>
  </sheetViews>
  <sheetFormatPr baseColWidth="8" defaultColWidth="9.140625" defaultRowHeight="18.75"/>
  <cols>
    <col width="10.28515625" bestFit="1" customWidth="1" style="286" min="1" max="1"/>
    <col width="17.85546875" bestFit="1" customWidth="1" min="2" max="2"/>
    <col width="42.28515625" customWidth="1" min="3" max="3"/>
    <col width="82.85546875" bestFit="1" customWidth="1" min="4" max="4"/>
    <col width="22" bestFit="1" customWidth="1" min="5" max="5"/>
    <col width="19.5703125" bestFit="1" customWidth="1" min="6" max="6"/>
    <col width="26.42578125" customWidth="1" min="7" max="7"/>
    <col width="20.5703125" customWidth="1" min="8" max="17"/>
    <col width="22.42578125" bestFit="1" customWidth="1" min="18" max="18"/>
    <col width="22.42578125" customWidth="1" min="19" max="19"/>
    <col width="20.5703125" customWidth="1" min="20" max="25"/>
    <col width="20.7109375" customWidth="1" min="26" max="27"/>
    <col width="69.7109375" bestFit="1" customWidth="1" min="28" max="28"/>
    <col width="12" bestFit="1" customWidth="1" min="29" max="29"/>
    <col width="17" customWidth="1" min="30" max="30"/>
    <col width="11" bestFit="1" customWidth="1" min="31" max="31"/>
    <col width="11.5703125" bestFit="1" customWidth="1" min="34" max="34"/>
  </cols>
  <sheetData>
    <row r="1" ht="15" customHeight="1">
      <c r="C1" s="963" t="inlineStr">
        <is>
          <t>GRAVITAS</t>
        </is>
      </c>
      <c r="D1" s="964" t="n"/>
      <c r="E1" s="964" t="n"/>
      <c r="F1" s="964" t="n"/>
      <c r="G1" s="964" t="n"/>
      <c r="H1" s="964" t="n"/>
      <c r="I1" s="964" t="n"/>
      <c r="J1" s="964" t="n"/>
      <c r="K1" s="964" t="n"/>
      <c r="L1" s="964" t="n"/>
      <c r="M1" s="964" t="n"/>
      <c r="N1" s="964" t="n"/>
      <c r="O1" s="964" t="n"/>
      <c r="P1" s="964" t="n"/>
      <c r="Q1" s="964" t="n"/>
      <c r="R1" s="964" t="n"/>
      <c r="S1" s="964" t="n"/>
      <c r="T1" s="964" t="n"/>
      <c r="U1" s="964" t="n"/>
      <c r="V1" s="964" t="n"/>
      <c r="W1" s="964" t="n"/>
      <c r="X1" s="964" t="n"/>
      <c r="Y1" s="964" t="n"/>
      <c r="Z1" s="965" t="n"/>
      <c r="AA1" s="897" t="n"/>
    </row>
    <row r="2" ht="15" customHeight="1">
      <c r="C2" s="966" t="n"/>
      <c r="Z2" s="967" t="n"/>
      <c r="AA2" s="897" t="n"/>
    </row>
    <row r="3" ht="15" customHeight="1" thickBot="1">
      <c r="C3" s="968" t="n"/>
      <c r="D3" s="969" t="n"/>
      <c r="E3" s="969" t="n"/>
      <c r="F3" s="969" t="n"/>
      <c r="G3" s="969" t="n"/>
      <c r="H3" s="969" t="n"/>
      <c r="I3" s="969" t="n"/>
      <c r="J3" s="969" t="n"/>
      <c r="K3" s="969" t="n"/>
      <c r="L3" s="969" t="n"/>
      <c r="M3" s="969" t="n"/>
      <c r="N3" s="969" t="n"/>
      <c r="O3" s="969" t="n"/>
      <c r="P3" s="969" t="n"/>
      <c r="Q3" s="969" t="n"/>
      <c r="R3" s="969" t="n"/>
      <c r="S3" s="969" t="n"/>
      <c r="T3" s="969" t="n"/>
      <c r="U3" s="969" t="n"/>
      <c r="V3" s="969" t="n"/>
      <c r="W3" s="969" t="n"/>
      <c r="X3" s="969" t="n"/>
      <c r="Y3" s="969" t="n"/>
      <c r="Z3" s="970" t="n"/>
      <c r="AA3" s="897" t="n"/>
    </row>
    <row r="4" ht="19.5" customHeight="1" thickBot="1">
      <c r="C4" s="971" t="inlineStr">
        <is>
          <t xml:space="preserve">  CALCULATION For the month of NOV-25</t>
        </is>
      </c>
      <c r="D4" s="972" t="n"/>
      <c r="E4" s="972" t="n"/>
      <c r="F4" s="972" t="n"/>
      <c r="G4" s="972" t="n"/>
      <c r="H4" s="972" t="n"/>
      <c r="I4" s="972" t="n"/>
      <c r="J4" s="972" t="n"/>
      <c r="K4" s="972" t="n"/>
      <c r="L4" s="972" t="n"/>
      <c r="M4" s="972" t="n"/>
      <c r="N4" s="972" t="n"/>
      <c r="O4" s="972" t="n"/>
      <c r="P4" s="972" t="n"/>
      <c r="Q4" s="972" t="n"/>
      <c r="R4" s="972" t="n"/>
      <c r="S4" s="972" t="n"/>
      <c r="T4" s="972" t="n"/>
      <c r="U4" s="972" t="n"/>
      <c r="V4" s="972" t="n"/>
      <c r="W4" s="972" t="n"/>
      <c r="X4" s="972" t="n"/>
      <c r="Y4" s="972" t="n"/>
      <c r="Z4" s="973" t="n"/>
      <c r="AA4" s="974" t="n"/>
    </row>
    <row r="5">
      <c r="C5" s="975" t="n"/>
      <c r="D5" s="976" t="n"/>
      <c r="E5" s="976" t="n"/>
      <c r="F5" s="975" t="n"/>
      <c r="G5" s="975" t="n"/>
      <c r="H5" s="975" t="n"/>
      <c r="I5" s="975" t="n"/>
      <c r="J5" s="975" t="n"/>
      <c r="K5" s="975" t="n"/>
      <c r="L5" s="975" t="n"/>
      <c r="M5" s="975" t="n"/>
      <c r="N5" s="975" t="n"/>
      <c r="O5" s="975" t="n"/>
      <c r="P5" s="975" t="n"/>
      <c r="Q5" s="975" t="n"/>
      <c r="R5" s="975" t="n"/>
      <c r="S5" s="975" t="n"/>
      <c r="T5" s="975" t="n"/>
      <c r="U5" s="975" t="n"/>
      <c r="V5" s="975" t="n"/>
      <c r="W5" s="975" t="n"/>
      <c r="X5" s="975" t="n"/>
      <c r="Y5" s="975" t="n"/>
    </row>
    <row r="6" ht="20.25" customHeight="1" thickBot="1">
      <c r="C6" s="977" t="inlineStr">
        <is>
          <t>SHOP MEMBERS COLLECTION BEFORE BU</t>
        </is>
      </c>
      <c r="H6" s="975" t="n"/>
      <c r="I6" s="975" t="n"/>
      <c r="J6" s="975" t="n"/>
      <c r="K6" s="975" t="n"/>
      <c r="L6" s="975" t="n"/>
      <c r="M6" s="975" t="n"/>
      <c r="N6" s="975" t="n"/>
      <c r="O6" s="975" t="n"/>
      <c r="P6" s="975" t="n"/>
      <c r="Q6" s="975" t="n"/>
      <c r="R6" s="975" t="n"/>
      <c r="S6" s="975" t="n"/>
      <c r="T6" s="975" t="n"/>
      <c r="U6" s="975" t="n"/>
      <c r="V6" s="975" t="n"/>
      <c r="W6" s="975" t="n"/>
      <c r="X6" s="975" t="n"/>
      <c r="Y6" s="975" t="n"/>
    </row>
    <row r="7" ht="5.25" customHeight="1">
      <c r="C7" s="844" t="inlineStr">
        <is>
          <t>Flat No.</t>
        </is>
      </c>
      <c r="D7" s="844" t="inlineStr">
        <is>
          <t>Name of Owner</t>
        </is>
      </c>
      <c r="E7" s="844" t="inlineStr">
        <is>
          <t>CR SIDE</t>
        </is>
      </c>
      <c r="F7" s="847" t="inlineStr">
        <is>
          <t xml:space="preserve">LAND PORTION (One Third) </t>
        </is>
      </c>
      <c r="G7" s="847" t="inlineStr">
        <is>
          <t>TAXABLE VALUE            (Two Third)</t>
        </is>
      </c>
      <c r="H7" s="847" t="inlineStr">
        <is>
          <t>REFUND OF SAME PEROID( WITH GST)</t>
        </is>
      </c>
      <c r="I7" s="847" t="inlineStr">
        <is>
          <t>REFUND WITHOUT GST</t>
        </is>
      </c>
      <c r="J7" s="301" t="inlineStr">
        <is>
          <t>Receipt of Maintenance Expence</t>
        </is>
      </c>
      <c r="K7" s="301" t="inlineStr">
        <is>
          <t>Receipt of refundable /MAINTENANCE Deposit</t>
        </is>
      </c>
      <c r="L7" s="849" t="inlineStr">
        <is>
          <t>Payment of refundable /MAINTENANCE Deposit</t>
        </is>
      </c>
      <c r="M7" s="301" t="inlineStr">
        <is>
          <t>Refundable deposit repayment</t>
        </is>
      </c>
      <c r="N7" s="847" t="inlineStr">
        <is>
          <t>Receipt Stamp Duty /JV (Cr)</t>
        </is>
      </c>
      <c r="O7" s="847" t="inlineStr">
        <is>
          <t>Payment Stamp Duty /JV (Dr)</t>
        </is>
      </c>
      <c r="P7" s="847" t="inlineStr">
        <is>
          <t>Receipt Registration Fees/JV (Cr)</t>
        </is>
      </c>
      <c r="Q7" s="847" t="inlineStr">
        <is>
          <t>Payment of Reg Fees/JV (Dr)</t>
        </is>
      </c>
      <c r="R7" s="301" t="inlineStr">
        <is>
          <t>SALES JOURNAL</t>
        </is>
      </c>
      <c r="S7" s="847" t="inlineStr">
        <is>
          <t>JV of AEC, AUDA, extra work</t>
        </is>
      </c>
      <c r="T7" s="847" t="inlineStr">
        <is>
          <t>Payment of stampduty on behalf of party</t>
        </is>
      </c>
      <c r="U7" s="847" t="inlineStr">
        <is>
          <t>Receipt of AEC, AUDA</t>
        </is>
      </c>
      <c r="V7" s="301" t="inlineStr">
        <is>
          <t>GST Reversal Entry due to E - Invoice</t>
        </is>
      </c>
      <c r="W7" s="301" t="inlineStr">
        <is>
          <t>Refundable Deposite income</t>
        </is>
      </c>
      <c r="X7" s="301" t="inlineStr">
        <is>
          <t>Cancellation income</t>
        </is>
      </c>
      <c r="Y7" s="847" t="inlineStr">
        <is>
          <t>Cheque Return</t>
        </is>
      </c>
      <c r="Z7" s="847" t="inlineStr">
        <is>
          <t>NET RECEIPT</t>
        </is>
      </c>
      <c r="AA7" s="288" t="n"/>
    </row>
    <row r="8" ht="66.75" customHeight="1" thickBot="1">
      <c r="C8" s="978" t="n"/>
      <c r="D8" s="978" t="n"/>
      <c r="E8" s="978" t="n"/>
      <c r="F8" s="978" t="n"/>
      <c r="G8" s="978" t="n"/>
      <c r="H8" s="978" t="n"/>
      <c r="I8" s="978" t="n"/>
      <c r="J8" s="979" t="n"/>
      <c r="K8" s="979" t="n"/>
      <c r="L8" s="980" t="n"/>
      <c r="M8" s="979" t="n"/>
      <c r="N8" s="978" t="n"/>
      <c r="O8" s="978" t="n"/>
      <c r="P8" s="978" t="n"/>
      <c r="Q8" s="978" t="n"/>
      <c r="R8" s="979" t="n"/>
      <c r="S8" s="978" t="n"/>
      <c r="T8" s="978" t="n"/>
      <c r="U8" s="978" t="n"/>
      <c r="V8" s="979" t="n"/>
      <c r="W8" s="979" t="n"/>
      <c r="X8" s="979" t="n"/>
      <c r="Y8" s="978" t="n"/>
      <c r="Z8" s="978" t="n"/>
      <c r="AA8" s="288" t="n"/>
    </row>
    <row r="9" ht="14.25" customFormat="1" customHeight="1" s="1">
      <c r="B9" s="342" t="n"/>
      <c r="C9" s="344" t="n"/>
      <c r="D9" s="345" t="n"/>
      <c r="E9" s="981" t="n">
        <v>0</v>
      </c>
      <c r="F9" s="982">
        <f>+E9/3</f>
        <v/>
      </c>
      <c r="G9" s="982">
        <f>+E9-F9</f>
        <v/>
      </c>
      <c r="H9" s="981" t="n"/>
      <c r="I9" s="981" t="n"/>
      <c r="J9" s="981" t="n"/>
      <c r="K9" s="981" t="n"/>
      <c r="L9" s="981" t="n"/>
      <c r="M9" s="981" t="n"/>
      <c r="N9" s="981" t="n"/>
      <c r="O9" s="981" t="n"/>
      <c r="P9" s="982" t="n"/>
      <c r="Q9" s="981" t="n"/>
      <c r="R9" s="983" t="n"/>
      <c r="S9" s="983" t="n"/>
      <c r="T9" s="983" t="n"/>
      <c r="U9" s="983" t="n"/>
      <c r="V9" s="983" t="n"/>
      <c r="W9" s="983" t="n"/>
      <c r="X9" s="983" t="n"/>
      <c r="Y9" s="983" t="n"/>
      <c r="Z9" s="335">
        <f>E9-P9-K9-J9-U9-N9</f>
        <v/>
      </c>
      <c r="AA9" s="442" t="n"/>
      <c r="AB9" s="442" t="n"/>
    </row>
    <row r="10" ht="14.25" customFormat="1" customHeight="1" s="1">
      <c r="B10" s="342" t="n"/>
      <c r="C10" s="332" t="n"/>
      <c r="D10" s="338" t="n"/>
      <c r="E10" s="984" t="n"/>
      <c r="F10" s="982">
        <f>+E10/3</f>
        <v/>
      </c>
      <c r="G10" s="982">
        <f>+E10-F10</f>
        <v/>
      </c>
      <c r="H10" s="983" t="n"/>
      <c r="I10" s="981" t="n">
        <v>0</v>
      </c>
      <c r="J10" s="981" t="n"/>
      <c r="K10" s="981" t="n"/>
      <c r="L10" s="981" t="n"/>
      <c r="M10" s="981" t="n"/>
      <c r="N10" s="981" t="n"/>
      <c r="O10" s="981" t="n"/>
      <c r="P10" s="981" t="n"/>
      <c r="Q10" s="981">
        <f>+P10</f>
        <v/>
      </c>
      <c r="R10" s="983" t="n"/>
      <c r="S10" s="983" t="n"/>
      <c r="T10" s="983" t="n"/>
      <c r="U10" s="983" t="n"/>
      <c r="V10" s="983" t="n"/>
      <c r="W10" s="983" t="n"/>
      <c r="X10" s="983" t="n"/>
      <c r="Y10" s="983" t="n">
        <v>0</v>
      </c>
      <c r="Z10" s="335">
        <f>E10-P10-K10-J10-U10-N10</f>
        <v/>
      </c>
      <c r="AA10" s="442" t="n"/>
      <c r="AB10" s="442" t="n"/>
    </row>
    <row r="11" ht="14.25" customFormat="1" customHeight="1" s="1">
      <c r="B11" s="342">
        <f>+AA11</f>
        <v/>
      </c>
      <c r="C11" s="332" t="n"/>
      <c r="D11" s="338" t="n"/>
      <c r="E11" s="984" t="n"/>
      <c r="F11" s="982">
        <f>+E11/3</f>
        <v/>
      </c>
      <c r="G11" s="982">
        <f>+E11-F11</f>
        <v/>
      </c>
      <c r="H11" s="981" t="n"/>
      <c r="I11" s="981" t="n"/>
      <c r="J11" s="981" t="n"/>
      <c r="K11" s="981" t="n"/>
      <c r="L11" s="981" t="n"/>
      <c r="M11" s="981" t="n"/>
      <c r="N11" s="981" t="n"/>
      <c r="O11" s="981">
        <f>N11</f>
        <v/>
      </c>
      <c r="P11" s="981" t="n"/>
      <c r="Q11" s="981">
        <f>+P11</f>
        <v/>
      </c>
      <c r="R11" s="983" t="n"/>
      <c r="S11" s="983" t="n"/>
      <c r="T11" s="983" t="n"/>
      <c r="U11" s="983" t="n"/>
      <c r="V11" s="983" t="n"/>
      <c r="W11" s="983" t="n"/>
      <c r="X11" s="983" t="n"/>
      <c r="Y11" s="983" t="n"/>
      <c r="Z11" s="335">
        <f>E11-P11-K11-J11-U11-N11</f>
        <v/>
      </c>
      <c r="AA11" s="442">
        <f>Z11*6/100</f>
        <v/>
      </c>
      <c r="AB11" s="442">
        <f>+H11+I11+M11+Q11+R11+S11+T11+Y11</f>
        <v/>
      </c>
    </row>
    <row r="12" ht="14.25" customFormat="1" customHeight="1" s="1">
      <c r="B12" s="342">
        <f>+AA12</f>
        <v/>
      </c>
      <c r="C12" s="332" t="n"/>
      <c r="D12" s="338" t="n"/>
      <c r="E12" s="981" t="n"/>
      <c r="F12" s="982">
        <f>+E12/3</f>
        <v/>
      </c>
      <c r="G12" s="982">
        <f>+E12-F12</f>
        <v/>
      </c>
      <c r="H12" s="981" t="n"/>
      <c r="I12" s="981" t="n"/>
      <c r="J12" s="981" t="n"/>
      <c r="K12" s="981" t="n"/>
      <c r="L12" s="981" t="n"/>
      <c r="M12" s="981" t="n"/>
      <c r="N12" s="981" t="n"/>
      <c r="O12" s="981" t="n"/>
      <c r="P12" s="981" t="n"/>
      <c r="Q12" s="981" t="n"/>
      <c r="R12" s="983" t="n"/>
      <c r="S12" s="983" t="n"/>
      <c r="T12" s="983" t="n"/>
      <c r="U12" s="983" t="n"/>
      <c r="V12" s="983" t="n"/>
      <c r="W12" s="983" t="n"/>
      <c r="X12" s="983" t="n"/>
      <c r="Y12" s="983" t="n"/>
      <c r="Z12" s="335">
        <f>E12-P12-K12-J12-U12-N12</f>
        <v/>
      </c>
      <c r="AA12" s="442">
        <f>Z12*6/100</f>
        <v/>
      </c>
      <c r="AB12" s="442">
        <f>+H12+I12+M12+Q12+R12+S12+T12+Y12</f>
        <v/>
      </c>
    </row>
    <row r="13" ht="14.25" customFormat="1" customHeight="1" s="1">
      <c r="B13" s="342">
        <f>+AA13</f>
        <v/>
      </c>
      <c r="C13" s="332" t="n"/>
      <c r="D13" s="338" t="n"/>
      <c r="E13" s="981" t="n"/>
      <c r="F13" s="982" t="n"/>
      <c r="G13" s="982" t="n"/>
      <c r="H13" s="981" t="n"/>
      <c r="I13" s="981" t="n"/>
      <c r="J13" s="981" t="n"/>
      <c r="K13" s="981" t="n"/>
      <c r="L13" s="981" t="n"/>
      <c r="M13" s="981" t="n"/>
      <c r="N13" s="981" t="n"/>
      <c r="O13" s="981" t="n"/>
      <c r="P13" s="981" t="n"/>
      <c r="Q13" s="981" t="n"/>
      <c r="R13" s="983" t="n"/>
      <c r="S13" s="983" t="n"/>
      <c r="T13" s="983" t="n"/>
      <c r="U13" s="983" t="n"/>
      <c r="V13" s="983" t="n"/>
      <c r="W13" s="983" t="n"/>
      <c r="X13" s="983" t="n"/>
      <c r="Y13" s="983" t="n"/>
      <c r="Z13" s="335">
        <f>E13-P13-K13-J13-U13-N13</f>
        <v/>
      </c>
      <c r="AA13" s="442">
        <f>Z13*6/100</f>
        <v/>
      </c>
      <c r="AB13" s="442">
        <f>+H13+I13+M13+Q13+R13+S13+T13+Y13</f>
        <v/>
      </c>
    </row>
    <row r="14" ht="14.25" customFormat="1" customHeight="1" s="1">
      <c r="B14" s="342">
        <f>+AA14</f>
        <v/>
      </c>
      <c r="C14" s="332" t="n"/>
      <c r="D14" s="338" t="n"/>
      <c r="E14" s="981" t="n"/>
      <c r="F14" s="982">
        <f>+E14/3</f>
        <v/>
      </c>
      <c r="G14" s="982">
        <f>+E14-F14</f>
        <v/>
      </c>
      <c r="H14" s="981" t="n"/>
      <c r="I14" s="981" t="n"/>
      <c r="J14" s="981" t="n"/>
      <c r="K14" s="981" t="n"/>
      <c r="L14" s="981" t="n"/>
      <c r="M14" s="981" t="n"/>
      <c r="N14" s="981" t="n"/>
      <c r="O14" s="981">
        <f>+N14</f>
        <v/>
      </c>
      <c r="P14" s="981" t="n"/>
      <c r="Q14" s="981">
        <f>+P14</f>
        <v/>
      </c>
      <c r="R14" s="983" t="n"/>
      <c r="S14" s="983" t="n"/>
      <c r="T14" s="983" t="n"/>
      <c r="U14" s="983" t="n"/>
      <c r="V14" s="983" t="n"/>
      <c r="W14" s="983" t="n"/>
      <c r="X14" s="983" t="n"/>
      <c r="Y14" s="983" t="n"/>
      <c r="Z14" s="335">
        <f>E14-P14-K14-J14-U14-N14</f>
        <v/>
      </c>
      <c r="AA14" s="442">
        <f>(Z14*6/100)+(J14*9/100)</f>
        <v/>
      </c>
      <c r="AB14" s="442">
        <f>+H14+I14+M14+Q14+R14+S14+T14+Y14</f>
        <v/>
      </c>
    </row>
    <row r="15" ht="14.25" customFormat="1" customHeight="1" s="1">
      <c r="B15" s="342">
        <f>+AA15</f>
        <v/>
      </c>
      <c r="C15" s="332" t="n"/>
      <c r="D15" s="338" t="n"/>
      <c r="E15" s="981" t="n"/>
      <c r="F15" s="982">
        <f>+E15/3</f>
        <v/>
      </c>
      <c r="G15" s="982">
        <f>+E15-F15</f>
        <v/>
      </c>
      <c r="H15" s="981" t="n"/>
      <c r="I15" s="981" t="n"/>
      <c r="J15" s="981" t="n"/>
      <c r="K15" s="981" t="n"/>
      <c r="L15" s="981" t="n"/>
      <c r="M15" s="981" t="n"/>
      <c r="N15" s="981" t="n"/>
      <c r="O15" s="981" t="n">
        <v>0</v>
      </c>
      <c r="P15" s="981" t="n"/>
      <c r="Q15" s="981">
        <f>+P15</f>
        <v/>
      </c>
      <c r="R15" s="983" t="n"/>
      <c r="S15" s="983" t="n"/>
      <c r="T15" s="983" t="n"/>
      <c r="U15" s="983" t="n"/>
      <c r="V15" s="983" t="n"/>
      <c r="W15" s="983" t="n"/>
      <c r="X15" s="983" t="n"/>
      <c r="Y15" s="983" t="n"/>
      <c r="Z15" s="335">
        <f>E15-P15-K15-J15-U15-N15</f>
        <v/>
      </c>
      <c r="AA15" s="442">
        <f>Z15*6/100</f>
        <v/>
      </c>
      <c r="AB15" s="442">
        <f>+H15+I15+M15+Q15+R15+S15+T15+Y15</f>
        <v/>
      </c>
    </row>
    <row r="16" ht="14.25" customFormat="1" customHeight="1" s="1">
      <c r="B16" s="342">
        <f>+AA16</f>
        <v/>
      </c>
      <c r="C16" s="332" t="n"/>
      <c r="D16" s="338" t="n"/>
      <c r="E16" s="981" t="n"/>
      <c r="F16" s="982">
        <f>+E16/3</f>
        <v/>
      </c>
      <c r="G16" s="982">
        <f>+E16-F16</f>
        <v/>
      </c>
      <c r="H16" s="981" t="n"/>
      <c r="I16" s="981" t="n"/>
      <c r="J16" s="981" t="n"/>
      <c r="K16" s="981" t="n"/>
      <c r="L16" s="981" t="n"/>
      <c r="M16" s="981" t="n"/>
      <c r="N16" s="981" t="n"/>
      <c r="O16" s="981">
        <f>+N16</f>
        <v/>
      </c>
      <c r="P16" s="981" t="n"/>
      <c r="Q16" s="981" t="n">
        <v>0</v>
      </c>
      <c r="R16" s="983" t="n"/>
      <c r="S16" s="983" t="n"/>
      <c r="T16" s="983" t="n"/>
      <c r="U16" s="983" t="n"/>
      <c r="V16" s="983" t="n"/>
      <c r="W16" s="983" t="n"/>
      <c r="X16" s="983" t="n"/>
      <c r="Y16" s="983" t="n"/>
      <c r="Z16" s="335">
        <f>E16-P16-K16-J16-U16-N16</f>
        <v/>
      </c>
      <c r="AA16" s="442">
        <f>Z16*6/100</f>
        <v/>
      </c>
      <c r="AB16" s="442">
        <f>+H16+I16+M16+Q16+R16+S16+T16+Y16</f>
        <v/>
      </c>
    </row>
    <row r="17" ht="14.25" customFormat="1" customHeight="1" s="1">
      <c r="B17" s="342">
        <f>+AA17</f>
        <v/>
      </c>
      <c r="C17" s="332" t="n"/>
      <c r="D17" s="338" t="n"/>
      <c r="E17" s="981" t="n"/>
      <c r="F17" s="982">
        <f>+E17/3</f>
        <v/>
      </c>
      <c r="G17" s="982">
        <f>+E17-F17</f>
        <v/>
      </c>
      <c r="H17" s="981" t="n"/>
      <c r="I17" s="981" t="n"/>
      <c r="J17" s="981" t="n"/>
      <c r="K17" s="981" t="n"/>
      <c r="L17" s="981" t="n"/>
      <c r="M17" s="981" t="n"/>
      <c r="N17" s="981" t="n"/>
      <c r="O17" s="981">
        <f>+N17</f>
        <v/>
      </c>
      <c r="P17" s="981" t="n"/>
      <c r="Q17" s="981" t="n">
        <v>0</v>
      </c>
      <c r="R17" s="983" t="n"/>
      <c r="S17" s="983" t="n"/>
      <c r="T17" s="983" t="n"/>
      <c r="U17" s="983" t="n"/>
      <c r="V17" s="983" t="n"/>
      <c r="W17" s="983" t="n"/>
      <c r="X17" s="983" t="n"/>
      <c r="Y17" s="983" t="n"/>
      <c r="Z17" s="335">
        <f>E17-P17-K17-J17-U17-N17</f>
        <v/>
      </c>
      <c r="AA17" s="442">
        <f>Z17*6/100</f>
        <v/>
      </c>
      <c r="AB17" s="442">
        <f>+H17+I17+M17+Q17+R17+S17+T17+Y17</f>
        <v/>
      </c>
    </row>
    <row r="18" ht="14.25" customFormat="1" customHeight="1" s="1">
      <c r="B18" s="342">
        <f>+AA18</f>
        <v/>
      </c>
      <c r="C18" s="332" t="n"/>
      <c r="D18" s="338" t="n"/>
      <c r="E18" s="981" t="n"/>
      <c r="F18" s="982">
        <f>+E18/3</f>
        <v/>
      </c>
      <c r="G18" s="982">
        <f>+E18-F18</f>
        <v/>
      </c>
      <c r="H18" s="981" t="n"/>
      <c r="I18" s="981" t="n"/>
      <c r="J18" s="981" t="n"/>
      <c r="K18" s="981" t="n"/>
      <c r="L18" s="981" t="n"/>
      <c r="M18" s="981" t="n"/>
      <c r="N18" s="981" t="n"/>
      <c r="O18" s="981">
        <f>+N18</f>
        <v/>
      </c>
      <c r="P18" s="981" t="n"/>
      <c r="Q18" s="981" t="n"/>
      <c r="R18" s="983" t="n"/>
      <c r="S18" s="983" t="n"/>
      <c r="T18" s="983" t="n"/>
      <c r="U18" s="983" t="n"/>
      <c r="V18" s="983" t="n"/>
      <c r="W18" s="983" t="n"/>
      <c r="X18" s="983" t="n"/>
      <c r="Y18" s="983" t="n"/>
      <c r="Z18" s="335">
        <f>E18-P18-K18-J18-U18-N18</f>
        <v/>
      </c>
      <c r="AA18" s="442">
        <f>Z18*6/100</f>
        <v/>
      </c>
      <c r="AB18" s="442">
        <f>+H18+I18+M18+Q18+R18+S18+T18+Y18</f>
        <v/>
      </c>
    </row>
    <row r="19" ht="14.25" customFormat="1" customHeight="1" s="1">
      <c r="B19" s="342">
        <f>+AA19</f>
        <v/>
      </c>
      <c r="C19" s="332" t="n"/>
      <c r="D19" s="338" t="n"/>
      <c r="E19" s="981" t="n"/>
      <c r="F19" s="982">
        <f>+E19/3</f>
        <v/>
      </c>
      <c r="G19" s="982">
        <f>+E19-F19</f>
        <v/>
      </c>
      <c r="H19" s="981" t="n"/>
      <c r="I19" s="981" t="n"/>
      <c r="J19" s="981" t="n"/>
      <c r="K19" s="981" t="n"/>
      <c r="L19" s="981" t="n"/>
      <c r="M19" s="981" t="n"/>
      <c r="N19" s="981" t="n"/>
      <c r="O19" s="981" t="n"/>
      <c r="P19" s="981" t="n"/>
      <c r="Q19" s="981" t="n"/>
      <c r="R19" s="983" t="n"/>
      <c r="S19" s="983" t="n"/>
      <c r="T19" s="983" t="n"/>
      <c r="U19" s="983" t="n"/>
      <c r="V19" s="983" t="n"/>
      <c r="W19" s="983" t="n"/>
      <c r="X19" s="983" t="n"/>
      <c r="Y19" s="983" t="n"/>
      <c r="Z19" s="335">
        <f>E19-P19-K19-J19-U19-N19</f>
        <v/>
      </c>
      <c r="AA19" s="442">
        <f>Z19*6/100</f>
        <v/>
      </c>
      <c r="AB19" s="442">
        <f>+H19+I19+M19+Q19+R19+S19+T19+Y19</f>
        <v/>
      </c>
    </row>
    <row r="20" ht="15" customFormat="1" customHeight="1" s="1" thickBot="1">
      <c r="B20" s="342">
        <f>+AA20</f>
        <v/>
      </c>
      <c r="C20" s="332" t="n"/>
      <c r="D20" s="338" t="n"/>
      <c r="E20" s="981" t="n"/>
      <c r="F20" s="982">
        <f>+E20/3</f>
        <v/>
      </c>
      <c r="G20" s="982">
        <f>+E20-F20</f>
        <v/>
      </c>
      <c r="H20" s="981" t="n"/>
      <c r="I20" s="981" t="n"/>
      <c r="J20" s="981" t="n"/>
      <c r="K20" s="981" t="n"/>
      <c r="L20" s="981" t="n"/>
      <c r="M20" s="981" t="n"/>
      <c r="N20" s="981" t="n"/>
      <c r="O20" s="981">
        <f>+N20</f>
        <v/>
      </c>
      <c r="P20" s="981" t="n"/>
      <c r="Q20" s="981">
        <f>+P20</f>
        <v/>
      </c>
      <c r="R20" s="983" t="n"/>
      <c r="S20" s="983" t="n"/>
      <c r="T20" s="983" t="n"/>
      <c r="U20" s="983" t="n"/>
      <c r="V20" s="983" t="n"/>
      <c r="W20" s="983" t="n"/>
      <c r="X20" s="983" t="n"/>
      <c r="Y20" s="983" t="n"/>
      <c r="Z20" s="335">
        <f>E20-P20-K20-J20-U20-N20</f>
        <v/>
      </c>
      <c r="AA20" s="442">
        <f>Z20*6/100</f>
        <v/>
      </c>
      <c r="AB20" s="442">
        <f>+H20+I20+M20+Q20+R20+S20+T20+Y20</f>
        <v/>
      </c>
    </row>
    <row r="21" ht="19.5" customFormat="1" customHeight="1" s="42" thickBot="1">
      <c r="A21" s="289" t="n"/>
      <c r="C21" s="290" t="inlineStr">
        <is>
          <t>Total</t>
        </is>
      </c>
      <c r="D21" s="290" t="n"/>
      <c r="E21" s="971">
        <f>SUM(E9:E20)</f>
        <v/>
      </c>
      <c r="F21" s="971">
        <f>SUM(F9:F20)</f>
        <v/>
      </c>
      <c r="G21" s="971">
        <f>SUM(G9:G20)</f>
        <v/>
      </c>
      <c r="H21" s="971">
        <f>SUM(H9:H20)</f>
        <v/>
      </c>
      <c r="I21" s="971">
        <f>SUM(I9:I20)</f>
        <v/>
      </c>
      <c r="J21" s="971">
        <f>SUM(J9:J20)</f>
        <v/>
      </c>
      <c r="K21" s="971">
        <f>SUM(K9:K20)</f>
        <v/>
      </c>
      <c r="L21" s="971" t="n"/>
      <c r="M21" s="971">
        <f>SUM(M9:M20)</f>
        <v/>
      </c>
      <c r="N21" s="971">
        <f>SUM(N9:N20)</f>
        <v/>
      </c>
      <c r="O21" s="971">
        <f>SUM(O9:O20)</f>
        <v/>
      </c>
      <c r="P21" s="971">
        <f>SUM(P9:P20)</f>
        <v/>
      </c>
      <c r="Q21" s="971">
        <f>SUM(Q9:Q20)</f>
        <v/>
      </c>
      <c r="R21" s="971">
        <f>SUM(R9:R20)</f>
        <v/>
      </c>
      <c r="S21" s="971">
        <f>SUM(S9:S20)</f>
        <v/>
      </c>
      <c r="T21" s="971">
        <f>SUM(T9:T20)</f>
        <v/>
      </c>
      <c r="U21" s="971">
        <f>SUM(U9:U20)</f>
        <v/>
      </c>
      <c r="V21" s="971">
        <f>SUM(V9:V20)</f>
        <v/>
      </c>
      <c r="W21" s="971">
        <f>SUM(W9:W20)</f>
        <v/>
      </c>
      <c r="X21" s="971">
        <f>SUM(X9:X20)</f>
        <v/>
      </c>
      <c r="Y21" s="971">
        <f>SUM(Y9:Y20)</f>
        <v/>
      </c>
      <c r="Z21" s="971">
        <f>SUM(Z9:Z20)</f>
        <v/>
      </c>
      <c r="AA21" s="974" t="n"/>
      <c r="AB21" s="985" t="n"/>
      <c r="AD21" s="291" t="n"/>
    </row>
    <row r="22" customFormat="1" s="42">
      <c r="A22" s="289" t="n"/>
      <c r="C22" s="292" t="n"/>
      <c r="D22" s="292" t="n"/>
      <c r="E22" s="975" t="n"/>
      <c r="F22" s="986" t="n"/>
      <c r="G22" s="986" t="n"/>
      <c r="H22" s="986" t="n"/>
      <c r="I22" s="986" t="n"/>
      <c r="J22" s="986" t="n"/>
      <c r="K22" s="986" t="n"/>
      <c r="L22" s="986" t="n"/>
      <c r="M22" s="986" t="n"/>
      <c r="N22" s="986" t="n"/>
      <c r="O22" s="986" t="n"/>
      <c r="P22" s="986" t="n"/>
      <c r="Q22" s="986" t="n"/>
      <c r="R22" s="986" t="n"/>
      <c r="S22" s="986" t="n"/>
      <c r="T22" s="986" t="n"/>
      <c r="U22" s="986" t="n"/>
      <c r="V22" s="986" t="n"/>
      <c r="W22" s="986" t="n"/>
      <c r="X22" s="986" t="n"/>
      <c r="Y22" s="986" t="n"/>
      <c r="Z22" s="987">
        <f>Y21+T21+S21+R21+Q21+M21+I21+H21</f>
        <v/>
      </c>
      <c r="AA22" s="292" t="n"/>
      <c r="AB22" s="292" t="n"/>
      <c r="AD22" s="294" t="n"/>
    </row>
    <row r="23" ht="31.5" customHeight="1">
      <c r="C23" s="295" t="inlineStr">
        <is>
          <t xml:space="preserve">AFTER BU </t>
        </is>
      </c>
      <c r="E23" s="975" t="n"/>
      <c r="H23" s="296" t="n"/>
      <c r="I23" s="296" t="n"/>
      <c r="J23" s="296" t="n"/>
      <c r="K23" s="296" t="n"/>
      <c r="L23" s="296" t="n"/>
      <c r="M23" s="296" t="n"/>
      <c r="N23" s="296" t="n"/>
      <c r="O23" s="296" t="n"/>
      <c r="R23" s="985" t="n"/>
      <c r="S23" s="985" t="n"/>
      <c r="T23" s="985" t="n"/>
      <c r="U23" s="985" t="n"/>
      <c r="V23" s="985" t="n"/>
      <c r="W23" s="73" t="n"/>
      <c r="X23" s="985" t="n"/>
      <c r="Y23" s="985" t="n"/>
    </row>
    <row r="24" ht="3" customHeight="1" thickBot="1">
      <c r="C24" s="977" t="inlineStr">
        <is>
          <t>SHOP MEMBERS COLLECTION AFTER BU</t>
        </is>
      </c>
      <c r="H24" s="975" t="n"/>
      <c r="I24" s="975" t="n"/>
      <c r="J24" s="975" t="n"/>
      <c r="K24" s="975" t="n"/>
      <c r="L24" s="975" t="n"/>
      <c r="M24" s="975" t="n"/>
      <c r="N24" s="975" t="n"/>
      <c r="O24" s="975" t="n"/>
      <c r="P24" s="975" t="n"/>
      <c r="Q24" s="975" t="n"/>
      <c r="R24" s="975" t="n"/>
      <c r="S24" s="975" t="n"/>
      <c r="T24" s="975" t="n"/>
      <c r="U24" s="975" t="n"/>
      <c r="V24" s="975" t="n"/>
      <c r="W24" s="975" t="n"/>
      <c r="X24" s="975" t="n"/>
      <c r="Y24" s="975" t="n"/>
    </row>
    <row r="25" ht="15" customHeight="1">
      <c r="C25" s="844" t="inlineStr">
        <is>
          <t>Flat No.</t>
        </is>
      </c>
      <c r="D25" s="851" t="inlineStr">
        <is>
          <t>Name of Owner</t>
        </is>
      </c>
      <c r="E25" s="844" t="inlineStr">
        <is>
          <t>CR SIDE</t>
        </is>
      </c>
      <c r="F25" s="847" t="inlineStr">
        <is>
          <t xml:space="preserve">LAND PORTION (One Third) </t>
        </is>
      </c>
      <c r="G25" s="847" t="inlineStr">
        <is>
          <t>TAXABLE VALUE            (Two Third)</t>
        </is>
      </c>
      <c r="H25" s="847" t="inlineStr">
        <is>
          <t>REFUND OF SAME PEROID ( WITH GST)</t>
        </is>
      </c>
      <c r="I25" s="847" t="inlineStr">
        <is>
          <t>REFUND OF PREVIOUS PEROID ( WITHOUT GST)</t>
        </is>
      </c>
      <c r="J25" s="849" t="inlineStr">
        <is>
          <t>Receipt of Maintenance Expence</t>
        </is>
      </c>
      <c r="K25" s="849" t="inlineStr">
        <is>
          <t>Receipt of refundable /MAINTENANCE Deposit</t>
        </is>
      </c>
      <c r="L25" s="849" t="inlineStr">
        <is>
          <t>Payment of refundable /MAINTENANCE Deposit</t>
        </is>
      </c>
      <c r="M25" s="849" t="inlineStr">
        <is>
          <t>Maintenance deposit JV/(DR)</t>
        </is>
      </c>
      <c r="N25" s="847" t="inlineStr">
        <is>
          <t>Receipt Stamp Duty /JV (Cr)</t>
        </is>
      </c>
      <c r="O25" s="847" t="inlineStr">
        <is>
          <t>Payment Stamp Duty /JV (Dr)</t>
        </is>
      </c>
      <c r="P25" s="849" t="inlineStr">
        <is>
          <t>Receipt Registration Fees/JV (Cr)</t>
        </is>
      </c>
      <c r="Q25" s="847" t="inlineStr">
        <is>
          <t>Payment of Reg Fees/JV (Dr)</t>
        </is>
      </c>
      <c r="R25" s="849" t="inlineStr">
        <is>
          <t>SALES JOURNAL/SALES DEED</t>
        </is>
      </c>
      <c r="S25" s="847" t="inlineStr">
        <is>
          <t>JV of AEC, AUDA, extra work</t>
        </is>
      </c>
      <c r="T25" s="847" t="inlineStr">
        <is>
          <t>Payment of stampduty on behalf of party</t>
        </is>
      </c>
      <c r="U25" s="847" t="inlineStr">
        <is>
          <t>Receipt of AEC, AUDA</t>
        </is>
      </c>
      <c r="V25" s="301" t="inlineStr">
        <is>
          <t>GST Reversal Entry due to E - Invoice</t>
        </is>
      </c>
      <c r="W25" s="301" t="inlineStr">
        <is>
          <t>Refundable Deposite income</t>
        </is>
      </c>
      <c r="X25" s="301" t="inlineStr">
        <is>
          <t>Cancellation income</t>
        </is>
      </c>
      <c r="Y25" s="988" t="inlineStr">
        <is>
          <t>Cheque Return</t>
        </is>
      </c>
      <c r="Z25" s="847" t="inlineStr">
        <is>
          <t>NET RECEIPT</t>
        </is>
      </c>
      <c r="AA25" s="288" t="n"/>
    </row>
    <row r="26" ht="53.25" customHeight="1" thickBot="1">
      <c r="C26" s="978" t="n"/>
      <c r="D26" s="980" t="n"/>
      <c r="E26" s="978" t="n"/>
      <c r="F26" s="978" t="n"/>
      <c r="G26" s="978" t="n"/>
      <c r="H26" s="978" t="n"/>
      <c r="I26" s="978" t="n"/>
      <c r="J26" s="980" t="n"/>
      <c r="K26" s="980" t="n"/>
      <c r="L26" s="980" t="n"/>
      <c r="M26" s="980" t="n"/>
      <c r="N26" s="978" t="n"/>
      <c r="O26" s="978" t="n"/>
      <c r="P26" s="980" t="n"/>
      <c r="Q26" s="978" t="n"/>
      <c r="R26" s="980" t="n"/>
      <c r="S26" s="978" t="n"/>
      <c r="T26" s="978" t="n"/>
      <c r="U26" s="978" t="n"/>
      <c r="V26" s="979" t="n"/>
      <c r="W26" s="979" t="n"/>
      <c r="X26" s="979" t="n"/>
      <c r="Y26" s="989" t="n"/>
      <c r="Z26" s="978" t="n"/>
      <c r="AA26" s="288" t="n"/>
    </row>
    <row r="27" ht="14.25" customFormat="1" customHeight="1" s="1">
      <c r="C27" s="332" t="n"/>
      <c r="D27" s="333" t="n"/>
      <c r="E27" s="990" t="n"/>
      <c r="F27" s="982" t="n"/>
      <c r="G27" s="982" t="n"/>
      <c r="H27" s="982" t="n"/>
      <c r="I27" s="982" t="n"/>
      <c r="J27" s="982" t="n"/>
      <c r="K27" s="982" t="n"/>
      <c r="L27" s="982" t="n"/>
      <c r="M27" s="982" t="n"/>
      <c r="N27" s="982" t="n"/>
      <c r="O27" s="982">
        <f>N27</f>
        <v/>
      </c>
      <c r="P27" s="331" t="n"/>
      <c r="Q27" s="982" t="n"/>
      <c r="R27" s="982" t="n">
        <v>0</v>
      </c>
      <c r="S27" s="982" t="n">
        <v>0</v>
      </c>
      <c r="T27" s="982" t="n">
        <v>0</v>
      </c>
      <c r="U27" s="982" t="n">
        <v>0</v>
      </c>
      <c r="V27" s="982" t="n"/>
      <c r="W27" s="982" t="n"/>
      <c r="X27" s="982" t="n"/>
      <c r="Y27" s="982" t="n"/>
      <c r="Z27" s="335">
        <f>E27-P27-K27-J27-U27-N27</f>
        <v/>
      </c>
      <c r="AA27" s="991" t="n"/>
    </row>
    <row r="28" ht="14.25" customFormat="1" customHeight="1" s="1">
      <c r="C28" s="332" t="n"/>
      <c r="D28" s="333" t="n"/>
      <c r="E28" s="990" t="n"/>
      <c r="F28" s="982" t="n">
        <v>0</v>
      </c>
      <c r="G28" s="982" t="n">
        <v>0</v>
      </c>
      <c r="H28" s="982" t="n"/>
      <c r="I28" s="982" t="n"/>
      <c r="J28" s="982" t="n"/>
      <c r="K28" s="982" t="n"/>
      <c r="L28" s="982" t="n"/>
      <c r="M28" s="982" t="n"/>
      <c r="N28" s="982" t="n"/>
      <c r="O28" s="982">
        <f>N28</f>
        <v/>
      </c>
      <c r="P28" s="331" t="n"/>
      <c r="Q28" s="982" t="n"/>
      <c r="R28" s="982" t="n">
        <v>0</v>
      </c>
      <c r="S28" s="982" t="n"/>
      <c r="T28" s="982" t="n"/>
      <c r="U28" s="982" t="n"/>
      <c r="V28" s="982" t="n"/>
      <c r="W28" s="982" t="n"/>
      <c r="X28" s="982" t="n"/>
      <c r="Y28" s="982" t="n"/>
      <c r="Z28" s="335">
        <f>E28-P28-K28-J28-U28-N28</f>
        <v/>
      </c>
      <c r="AA28" s="991" t="n"/>
    </row>
    <row r="29" ht="14.25" customFormat="1" customHeight="1" s="1">
      <c r="C29" s="332" t="n"/>
      <c r="D29" s="333" t="n"/>
      <c r="E29" s="990" t="n"/>
      <c r="F29" s="982" t="n"/>
      <c r="G29" s="982" t="n"/>
      <c r="H29" s="982" t="n"/>
      <c r="I29" s="982" t="n"/>
      <c r="J29" s="982" t="n"/>
      <c r="K29" s="982" t="n"/>
      <c r="L29" s="982" t="n"/>
      <c r="M29" s="982" t="n"/>
      <c r="N29" s="982" t="n"/>
      <c r="O29" s="982">
        <f>N29</f>
        <v/>
      </c>
      <c r="P29" s="982" t="n"/>
      <c r="Q29" s="982" t="n"/>
      <c r="R29" s="982" t="n">
        <v>0</v>
      </c>
      <c r="S29" s="982" t="n"/>
      <c r="T29" s="982" t="n"/>
      <c r="U29" s="982" t="n"/>
      <c r="V29" s="982" t="n"/>
      <c r="W29" s="982" t="n"/>
      <c r="X29" s="982" t="n"/>
      <c r="Y29" s="982" t="n"/>
      <c r="Z29" s="335">
        <f>E29-P29-K29-J29-U29-N29</f>
        <v/>
      </c>
      <c r="AA29" s="991" t="n"/>
      <c r="AD29" s="329" t="n"/>
      <c r="AE29" s="330" t="n"/>
      <c r="AF29" s="330" t="n"/>
      <c r="AG29" s="330" t="n"/>
      <c r="AH29" s="330" t="n"/>
    </row>
    <row r="30" ht="14.25" customFormat="1" customHeight="1" s="1">
      <c r="C30" s="332" t="n"/>
      <c r="D30" s="333" t="n"/>
      <c r="E30" s="990" t="n"/>
      <c r="F30" s="982" t="n"/>
      <c r="G30" s="982" t="n"/>
      <c r="H30" s="982" t="n"/>
      <c r="I30" s="982" t="n"/>
      <c r="J30" s="982" t="n"/>
      <c r="K30" s="982" t="n"/>
      <c r="L30" s="982" t="n"/>
      <c r="M30" s="982" t="n"/>
      <c r="N30" s="982" t="n"/>
      <c r="O30" s="982">
        <f>N30</f>
        <v/>
      </c>
      <c r="P30" s="982" t="n"/>
      <c r="Q30" s="982" t="n"/>
      <c r="R30" s="982" t="n">
        <v>0</v>
      </c>
      <c r="S30" s="982" t="n"/>
      <c r="T30" s="982" t="n"/>
      <c r="U30" s="982" t="n"/>
      <c r="V30" s="982" t="n"/>
      <c r="W30" s="982" t="n"/>
      <c r="X30" s="982" t="n"/>
      <c r="Y30" s="982" t="n"/>
      <c r="Z30" s="335">
        <f>E30-P30-K30-J30-U30-N30</f>
        <v/>
      </c>
      <c r="AA30" s="991" t="n"/>
    </row>
    <row r="31" ht="14.25" customFormat="1" customHeight="1" s="1">
      <c r="C31" s="332" t="n"/>
      <c r="D31" s="333" t="n"/>
      <c r="E31" s="990" t="n"/>
      <c r="F31" s="982" t="n"/>
      <c r="G31" s="982" t="n"/>
      <c r="H31" s="982" t="n"/>
      <c r="I31" s="982" t="n"/>
      <c r="J31" s="982" t="n"/>
      <c r="K31" s="982" t="n"/>
      <c r="L31" s="982" t="n"/>
      <c r="M31" s="982" t="n"/>
      <c r="N31" s="982" t="n"/>
      <c r="O31" s="982">
        <f>N31</f>
        <v/>
      </c>
      <c r="P31" s="982" t="n"/>
      <c r="Q31" s="982" t="n"/>
      <c r="R31" s="982" t="n"/>
      <c r="S31" s="982" t="n"/>
      <c r="T31" s="982" t="n"/>
      <c r="V31" s="982" t="n"/>
      <c r="W31" s="982" t="n"/>
      <c r="X31" s="982" t="n"/>
      <c r="Y31" s="982" t="n"/>
      <c r="Z31" s="335">
        <f>E31-P31-K31-J31-U31-N31</f>
        <v/>
      </c>
      <c r="AA31" s="991" t="n"/>
    </row>
    <row r="32" ht="14.25" customFormat="1" customHeight="1" s="1">
      <c r="C32" s="332" t="n"/>
      <c r="D32" s="333" t="n"/>
      <c r="E32" s="990" t="n"/>
      <c r="F32" s="982" t="n"/>
      <c r="G32" s="982" t="n"/>
      <c r="H32" s="982" t="n"/>
      <c r="I32" s="982" t="n"/>
      <c r="J32" s="982" t="n"/>
      <c r="K32" s="982" t="n"/>
      <c r="L32" s="982" t="n"/>
      <c r="M32" s="982" t="n"/>
      <c r="N32" s="982" t="n"/>
      <c r="O32" s="982" t="n"/>
      <c r="P32" s="982" t="n"/>
      <c r="Q32" s="982" t="n"/>
      <c r="R32" s="982" t="n">
        <v>0</v>
      </c>
      <c r="S32" s="982" t="n"/>
      <c r="T32" s="982" t="n"/>
      <c r="U32" s="982" t="n"/>
      <c r="V32" s="982" t="n"/>
      <c r="W32" s="982" t="n"/>
      <c r="X32" s="982" t="n"/>
      <c r="Y32" s="982" t="n"/>
      <c r="Z32" s="335">
        <f>E32-P32-K32-J32-U32-N32</f>
        <v/>
      </c>
      <c r="AA32" s="991" t="n"/>
    </row>
    <row r="33" ht="14.25" customFormat="1" customHeight="1" s="1">
      <c r="C33" s="332" t="n"/>
      <c r="D33" s="333" t="n"/>
      <c r="E33" s="631" t="n"/>
      <c r="F33" s="982" t="n"/>
      <c r="G33" s="982" t="n"/>
      <c r="H33" s="982" t="n"/>
      <c r="I33" s="982" t="n"/>
      <c r="J33" s="982" t="n"/>
      <c r="K33" s="982" t="n"/>
      <c r="L33" s="982" t="n"/>
      <c r="M33" s="982" t="n"/>
      <c r="N33" s="982" t="n"/>
      <c r="O33" s="982" t="n"/>
      <c r="P33" s="982" t="n"/>
      <c r="Q33" s="982" t="n"/>
      <c r="R33" s="982" t="n">
        <v>0</v>
      </c>
      <c r="S33" s="982" t="n"/>
      <c r="T33" s="982" t="n"/>
      <c r="U33" s="982" t="n"/>
      <c r="V33" s="982" t="n"/>
      <c r="W33" s="982" t="n"/>
      <c r="X33" s="982" t="n"/>
      <c r="Y33" s="982" t="n"/>
      <c r="Z33" s="335" t="n"/>
      <c r="AA33" s="991" t="n"/>
    </row>
    <row r="34" ht="14.25" customFormat="1" customHeight="1" s="1">
      <c r="C34" s="332" t="n"/>
      <c r="D34" s="749" t="n"/>
      <c r="E34" s="631" t="n"/>
      <c r="F34" s="982" t="n"/>
      <c r="G34" s="982" t="n"/>
      <c r="H34" s="982" t="n"/>
      <c r="I34" s="982" t="n"/>
      <c r="J34" s="982" t="n"/>
      <c r="K34" s="982" t="n"/>
      <c r="L34" s="982" t="n"/>
      <c r="M34" s="982" t="n"/>
      <c r="N34" s="982" t="n"/>
      <c r="O34" s="982" t="n"/>
      <c r="P34" s="982" t="n"/>
      <c r="Q34" s="982" t="n"/>
      <c r="R34" s="982" t="n"/>
      <c r="S34" s="982" t="n"/>
      <c r="T34" s="982" t="n"/>
      <c r="U34" s="982" t="n"/>
      <c r="V34" s="982" t="n"/>
      <c r="W34" s="982" t="n"/>
      <c r="X34" s="982" t="n"/>
      <c r="Y34" s="982" t="n"/>
      <c r="Z34" s="335">
        <f>E34-P34-K34-J34-U34-N34</f>
        <v/>
      </c>
      <c r="AA34" s="991" t="n"/>
    </row>
    <row r="35" ht="14.25" customFormat="1" customHeight="1" s="1">
      <c r="C35" s="332" t="n"/>
      <c r="D35" s="333" t="n"/>
      <c r="E35" s="631" t="n"/>
      <c r="F35" s="982" t="n"/>
      <c r="G35" s="982" t="n"/>
      <c r="H35" s="982" t="n"/>
      <c r="I35" s="982" t="n"/>
      <c r="J35" s="982" t="n"/>
      <c r="K35" s="982" t="n"/>
      <c r="L35" s="982">
        <f>K35</f>
        <v/>
      </c>
      <c r="M35" s="982" t="n"/>
      <c r="N35" s="982" t="n"/>
      <c r="O35" s="982" t="n"/>
      <c r="P35" s="982" t="n"/>
      <c r="Q35" s="982">
        <f>P35</f>
        <v/>
      </c>
      <c r="R35" s="982" t="n"/>
      <c r="S35" s="982" t="n"/>
      <c r="T35" s="982" t="n"/>
      <c r="U35" s="982" t="n"/>
      <c r="V35" s="982" t="n"/>
      <c r="W35" s="982" t="n"/>
      <c r="X35" s="982" t="n"/>
      <c r="Y35" s="982" t="n"/>
      <c r="Z35" s="335">
        <f>E35-P35-K35-J35-U35-N35</f>
        <v/>
      </c>
      <c r="AA35" s="991" t="n"/>
    </row>
    <row r="36" ht="14.25" customFormat="1" customHeight="1" s="1">
      <c r="C36" s="332" t="n"/>
      <c r="D36" s="337" t="n"/>
      <c r="E36" s="982" t="n"/>
      <c r="F36" s="982" t="n">
        <v>0</v>
      </c>
      <c r="G36" s="982" t="n">
        <v>0</v>
      </c>
      <c r="H36" s="982" t="n"/>
      <c r="I36" s="982" t="n"/>
      <c r="J36" s="982" t="n"/>
      <c r="K36" s="982" t="n"/>
      <c r="L36" s="982" t="n"/>
      <c r="M36" s="982" t="n"/>
      <c r="N36" s="982" t="n"/>
      <c r="O36" s="982">
        <f>N36</f>
        <v/>
      </c>
      <c r="P36" s="982" t="n"/>
      <c r="Q36" s="982">
        <f>P36</f>
        <v/>
      </c>
      <c r="R36" s="982" t="n"/>
      <c r="S36" s="982" t="n"/>
      <c r="T36" s="982" t="n"/>
      <c r="U36" s="982" t="n"/>
      <c r="V36" s="982" t="n"/>
      <c r="W36" s="982" t="n"/>
      <c r="X36" s="982" t="n"/>
      <c r="Y36" s="982" t="n"/>
      <c r="Z36" s="335">
        <f>E36-P36-K36-J36-U36-N36</f>
        <v/>
      </c>
      <c r="AA36" s="991" t="n"/>
    </row>
    <row r="37" ht="14.25" customFormat="1" customHeight="1" s="1">
      <c r="C37" s="332" t="n"/>
      <c r="D37" s="337" t="n"/>
      <c r="E37" s="982" t="n"/>
      <c r="F37" s="982" t="n">
        <v>0</v>
      </c>
      <c r="G37" s="982" t="n">
        <v>0</v>
      </c>
      <c r="H37" s="982" t="n"/>
      <c r="I37" s="982" t="n"/>
      <c r="J37" s="982" t="n"/>
      <c r="K37" s="982" t="n"/>
      <c r="L37" s="982" t="n"/>
      <c r="M37" s="982" t="n"/>
      <c r="N37" s="982" t="n"/>
      <c r="O37" s="982">
        <f>N37</f>
        <v/>
      </c>
      <c r="P37" s="982" t="n"/>
      <c r="Q37" s="982">
        <f>P37</f>
        <v/>
      </c>
      <c r="R37" s="982" t="n"/>
      <c r="S37" s="982" t="n"/>
      <c r="T37" s="982" t="n"/>
      <c r="U37" s="982" t="n"/>
      <c r="V37" s="982" t="n"/>
      <c r="W37" s="982" t="n"/>
      <c r="X37" s="982" t="n"/>
      <c r="Y37" s="982" t="n"/>
      <c r="Z37" s="335">
        <f>E37-P37-K37-J37-U37-N37</f>
        <v/>
      </c>
      <c r="AA37" s="991" t="n"/>
    </row>
    <row r="38" ht="14.25" customFormat="1" customHeight="1" s="1">
      <c r="C38" s="332" t="n"/>
      <c r="D38" s="332" t="n"/>
      <c r="E38" s="982" t="n"/>
      <c r="F38" s="982" t="n">
        <v>0</v>
      </c>
      <c r="G38" s="982" t="n">
        <v>0</v>
      </c>
      <c r="H38" s="982" t="n"/>
      <c r="I38" s="982" t="n"/>
      <c r="J38" s="982" t="n"/>
      <c r="K38" s="982" t="n"/>
      <c r="L38" s="982" t="n"/>
      <c r="M38" s="982" t="n"/>
      <c r="N38" s="982" t="n"/>
      <c r="O38" s="982">
        <f>N38</f>
        <v/>
      </c>
      <c r="P38" s="982" t="n"/>
      <c r="Q38" s="982">
        <f>P38</f>
        <v/>
      </c>
      <c r="R38" s="982" t="n"/>
      <c r="S38" s="982" t="n"/>
      <c r="T38" s="982" t="n"/>
      <c r="U38" s="982" t="n"/>
      <c r="V38" s="982" t="n"/>
      <c r="W38" s="982" t="n"/>
      <c r="X38" s="982" t="n"/>
      <c r="Y38" s="982" t="n"/>
      <c r="Z38" s="335">
        <f>E38-P38-K38-J38-U38-N38</f>
        <v/>
      </c>
      <c r="AA38" s="991" t="n"/>
    </row>
    <row r="39" ht="14.25" customFormat="1" customHeight="1" s="1">
      <c r="C39" s="332" t="n"/>
      <c r="D39" s="332" t="n"/>
      <c r="E39" s="982" t="n"/>
      <c r="F39" s="982" t="n">
        <v>0</v>
      </c>
      <c r="G39" s="982" t="n">
        <v>0</v>
      </c>
      <c r="H39" s="981" t="n"/>
      <c r="I39" s="981" t="n"/>
      <c r="J39" s="981" t="n"/>
      <c r="K39" s="981" t="n"/>
      <c r="L39" s="981" t="n"/>
      <c r="M39" s="981" t="n"/>
      <c r="N39" s="982" t="n"/>
      <c r="O39" s="982" t="n"/>
      <c r="P39" s="982" t="n"/>
      <c r="Q39" s="982">
        <f>P39</f>
        <v/>
      </c>
      <c r="R39" s="982" t="n"/>
      <c r="S39" s="982" t="n"/>
      <c r="T39" s="982" t="n"/>
      <c r="U39" s="982" t="n"/>
      <c r="V39" s="982" t="n"/>
      <c r="W39" s="982" t="n"/>
      <c r="X39" s="982" t="n"/>
      <c r="Y39" s="982" t="n"/>
      <c r="Z39" s="335">
        <f>E39-P39-K39-J39-U39-N39</f>
        <v/>
      </c>
      <c r="AA39" s="991" t="n"/>
    </row>
    <row r="40" ht="14.25" customFormat="1" customHeight="1" s="1">
      <c r="C40" s="332" t="n"/>
      <c r="D40" s="338" t="n"/>
      <c r="E40" s="982" t="n"/>
      <c r="F40" s="982" t="n">
        <v>0</v>
      </c>
      <c r="G40" s="982" t="n">
        <v>0</v>
      </c>
      <c r="H40" s="981" t="n"/>
      <c r="I40" s="981" t="n"/>
      <c r="J40" s="981" t="n">
        <v>0</v>
      </c>
      <c r="K40" s="981" t="n"/>
      <c r="L40" s="981" t="n"/>
      <c r="M40" s="981" t="n"/>
      <c r="N40" s="981" t="n"/>
      <c r="O40" s="981">
        <f>N40</f>
        <v/>
      </c>
      <c r="P40" s="982" t="n"/>
      <c r="Q40" s="981" t="n"/>
      <c r="R40" s="982" t="n"/>
      <c r="S40" s="983" t="n"/>
      <c r="T40" s="983" t="n"/>
      <c r="U40" s="983" t="n"/>
      <c r="V40" s="983" t="n"/>
      <c r="W40" s="983" t="n"/>
      <c r="X40" s="983" t="n"/>
      <c r="Y40" s="983" t="n"/>
      <c r="Z40" s="335">
        <f>E40-P40-K40-J40-U40-N40</f>
        <v/>
      </c>
      <c r="AA40" s="442" t="n"/>
      <c r="AB40" s="442">
        <f>+H40+I40+M40+Q40+R40+S40+T40+Y40</f>
        <v/>
      </c>
    </row>
    <row r="41" ht="14.25" customFormat="1" customHeight="1" s="1">
      <c r="B41" s="342" t="n"/>
      <c r="C41" s="332" t="n"/>
      <c r="D41" s="338" t="n"/>
      <c r="E41" s="982" t="n"/>
      <c r="F41" s="982" t="n"/>
      <c r="G41" s="982" t="n"/>
      <c r="H41" s="981" t="n"/>
      <c r="I41" s="981" t="n"/>
      <c r="J41" s="981" t="n"/>
      <c r="K41" s="981" t="n"/>
      <c r="L41" s="981" t="n"/>
      <c r="M41" s="981" t="n"/>
      <c r="N41" s="981" t="n"/>
      <c r="O41" s="981" t="n"/>
      <c r="P41" s="981" t="n"/>
      <c r="Q41" s="981" t="n"/>
      <c r="R41" s="982" t="n"/>
      <c r="S41" s="983" t="n"/>
      <c r="T41" s="983" t="n"/>
      <c r="U41" s="983" t="n"/>
      <c r="V41" s="983" t="n"/>
      <c r="W41" s="983" t="n"/>
      <c r="X41" s="983" t="n"/>
      <c r="Y41" s="983" t="n"/>
      <c r="Z41" s="335">
        <f>E41-P41-K41-J41-U41-N41</f>
        <v/>
      </c>
      <c r="AA41" s="442" t="n"/>
      <c r="AB41" s="442">
        <f>+H41+I41+M41+Q41+R41+S41+T41+Y41</f>
        <v/>
      </c>
    </row>
    <row r="42" ht="14.25" customFormat="1" customHeight="1" s="1">
      <c r="C42" s="332" t="n"/>
      <c r="D42" s="338" t="n"/>
      <c r="E42" s="982" t="n"/>
      <c r="F42" s="982" t="n"/>
      <c r="G42" s="982" t="n"/>
      <c r="H42" s="982" t="n"/>
      <c r="I42" s="982" t="n"/>
      <c r="J42" s="982" t="n"/>
      <c r="K42" s="982" t="n"/>
      <c r="L42" s="982" t="n"/>
      <c r="M42" s="982" t="n"/>
      <c r="N42" s="982" t="n"/>
      <c r="O42" s="982" t="n"/>
      <c r="P42" s="982" t="n"/>
      <c r="Q42" s="982" t="n"/>
      <c r="R42" s="982" t="n"/>
      <c r="S42" s="982" t="n"/>
      <c r="T42" s="982" t="n"/>
      <c r="U42" s="982" t="n"/>
      <c r="V42" s="982" t="n"/>
      <c r="W42" s="982" t="n"/>
      <c r="X42" s="982" t="n"/>
      <c r="Y42" s="982" t="n"/>
      <c r="Z42" s="335" t="n"/>
      <c r="AA42" s="991" t="n"/>
    </row>
    <row r="43" ht="14.25" customFormat="1" customHeight="1" s="1">
      <c r="C43" s="332" t="n"/>
      <c r="D43" s="338" t="n"/>
      <c r="E43" s="982" t="n"/>
      <c r="F43" s="982" t="n"/>
      <c r="G43" s="982" t="n"/>
      <c r="H43" s="982" t="n"/>
      <c r="I43" s="982" t="n"/>
      <c r="J43" s="982" t="n"/>
      <c r="K43" s="982" t="n"/>
      <c r="L43" s="982" t="n"/>
      <c r="M43" s="982" t="n"/>
      <c r="N43" s="982" t="n"/>
      <c r="O43" s="982" t="n"/>
      <c r="P43" s="982" t="n"/>
      <c r="Q43" s="982" t="n"/>
      <c r="R43" s="982" t="n"/>
      <c r="S43" s="982" t="n"/>
      <c r="T43" s="982" t="n"/>
      <c r="U43" s="982" t="n"/>
      <c r="V43" s="982" t="n"/>
      <c r="W43" s="982" t="n"/>
      <c r="X43" s="982" t="n"/>
      <c r="Y43" s="982" t="n"/>
      <c r="Z43" s="335">
        <f>E43-P43-K43-J43-U43-N43</f>
        <v/>
      </c>
      <c r="AA43" s="991" t="n"/>
    </row>
    <row r="44" ht="14.25" customFormat="1" customHeight="1" s="1">
      <c r="C44" s="332" t="n"/>
      <c r="D44" s="338" t="n"/>
      <c r="E44" s="982" t="n"/>
      <c r="F44" s="982" t="n"/>
      <c r="G44" s="982" t="n"/>
      <c r="H44" s="982" t="n">
        <v>0</v>
      </c>
      <c r="I44" s="982" t="n"/>
      <c r="J44" s="982" t="n"/>
      <c r="K44" s="982" t="n"/>
      <c r="L44" s="982" t="n"/>
      <c r="M44" s="982" t="n"/>
      <c r="N44" s="982" t="n"/>
      <c r="O44" s="982" t="n"/>
      <c r="P44" s="982" t="n"/>
      <c r="Q44" s="982" t="n"/>
      <c r="R44" s="982" t="n"/>
      <c r="S44" s="982" t="n"/>
      <c r="T44" s="982" t="n"/>
      <c r="U44" s="982" t="n"/>
      <c r="V44" s="982" t="n"/>
      <c r="W44" s="982" t="n"/>
      <c r="X44" s="982" t="n"/>
      <c r="Y44" s="982" t="n"/>
      <c r="Z44" s="335">
        <f>E44-P44-K44-J44-U44-N44</f>
        <v/>
      </c>
      <c r="AA44" s="991" t="n"/>
    </row>
    <row r="45" ht="14.25" customFormat="1" customHeight="1" s="1">
      <c r="C45" s="332" t="n"/>
      <c r="D45" s="338" t="n"/>
      <c r="E45" s="982" t="n"/>
      <c r="F45" s="982" t="n"/>
      <c r="G45" s="982" t="n"/>
      <c r="H45" s="982" t="n"/>
      <c r="I45" s="982" t="n"/>
      <c r="J45" s="982" t="n"/>
      <c r="K45" s="982" t="n"/>
      <c r="L45" s="982" t="n"/>
      <c r="M45" s="982" t="n"/>
      <c r="N45" s="982" t="n"/>
      <c r="O45" s="982" t="n"/>
      <c r="P45" s="982" t="n"/>
      <c r="Q45" s="982" t="n"/>
      <c r="R45" s="982" t="n"/>
      <c r="S45" s="982" t="n"/>
      <c r="T45" s="982" t="n"/>
      <c r="U45" s="982" t="n"/>
      <c r="V45" s="982" t="n"/>
      <c r="W45" s="982" t="n"/>
      <c r="X45" s="982" t="n"/>
      <c r="Y45" s="982" t="n"/>
      <c r="Z45" s="335">
        <f>E45-P45-K45-J45-U45-N45</f>
        <v/>
      </c>
      <c r="AA45" s="991" t="n"/>
    </row>
    <row r="46" ht="14.25" customFormat="1" customHeight="1" s="1">
      <c r="C46" s="332" t="n"/>
      <c r="D46" s="338" t="n"/>
      <c r="E46" s="982" t="n"/>
      <c r="F46" s="982" t="n"/>
      <c r="G46" s="982" t="n"/>
      <c r="H46" s="982" t="n"/>
      <c r="I46" s="982" t="n"/>
      <c r="J46" s="982" t="n"/>
      <c r="K46" s="982" t="n"/>
      <c r="L46" s="982" t="n"/>
      <c r="M46" s="982" t="n"/>
      <c r="N46" s="982" t="n"/>
      <c r="O46" s="982" t="n"/>
      <c r="P46" s="982" t="n"/>
      <c r="Q46" s="982" t="n"/>
      <c r="R46" s="982" t="n"/>
      <c r="S46" s="982" t="n"/>
      <c r="T46" s="982" t="n"/>
      <c r="U46" s="982" t="n"/>
      <c r="V46" s="982" t="n"/>
      <c r="W46" s="982" t="n"/>
      <c r="X46" s="982" t="n"/>
      <c r="Y46" s="982" t="n"/>
      <c r="Z46" s="335">
        <f>E46-P46-K46-J46-U46-N46</f>
        <v/>
      </c>
      <c r="AA46" s="991" t="n"/>
    </row>
    <row r="47" ht="14.25" customFormat="1" customHeight="1" s="1">
      <c r="C47" s="332" t="n"/>
      <c r="D47" s="338" t="n"/>
      <c r="E47" s="982" t="n"/>
      <c r="F47" s="982" t="n"/>
      <c r="G47" s="982" t="n"/>
      <c r="H47" s="982" t="n">
        <v>0</v>
      </c>
      <c r="I47" s="982" t="n"/>
      <c r="J47" s="982" t="n"/>
      <c r="K47" s="982" t="n"/>
      <c r="L47" s="982" t="n"/>
      <c r="M47" s="982" t="n"/>
      <c r="N47" s="982" t="n"/>
      <c r="O47" s="982" t="n"/>
      <c r="P47" s="982" t="n"/>
      <c r="Q47" s="982" t="n"/>
      <c r="R47" s="982" t="n"/>
      <c r="S47" s="982" t="n"/>
      <c r="T47" s="982" t="n"/>
      <c r="U47" s="982" t="n"/>
      <c r="V47" s="982" t="n"/>
      <c r="W47" s="982" t="n"/>
      <c r="X47" s="982" t="n"/>
      <c r="Y47" s="982" t="n"/>
      <c r="Z47" s="335">
        <f>E47-P47-K47-J47-U47-N47</f>
        <v/>
      </c>
      <c r="AA47" s="991" t="n"/>
    </row>
    <row r="48" ht="14.25" customFormat="1" customHeight="1" s="1">
      <c r="C48" s="331" t="n"/>
      <c r="D48" s="338" t="n"/>
      <c r="E48" s="982" t="n"/>
      <c r="F48" s="331" t="n"/>
      <c r="G48" s="331" t="n"/>
      <c r="H48" s="982" t="n"/>
      <c r="I48" s="982" t="n"/>
      <c r="J48" s="982" t="n"/>
      <c r="K48" s="982" t="n"/>
      <c r="L48" s="982" t="n"/>
      <c r="M48" s="982" t="n"/>
      <c r="N48" s="982" t="n"/>
      <c r="O48" s="982" t="n"/>
      <c r="P48" s="982" t="n"/>
      <c r="Q48" s="982" t="n"/>
      <c r="R48" s="982" t="n"/>
      <c r="S48" s="982" t="n"/>
      <c r="T48" s="982" t="n"/>
      <c r="U48" s="982" t="n"/>
      <c r="V48" s="982" t="n"/>
      <c r="W48" s="982" t="n"/>
      <c r="X48" s="982" t="n"/>
      <c r="Y48" s="982" t="n"/>
      <c r="Z48" s="335">
        <f>E48-P48-K48-J48-U48-N48</f>
        <v/>
      </c>
      <c r="AA48" s="991" t="n"/>
    </row>
    <row r="49" ht="15" customFormat="1" customHeight="1" s="1" thickBot="1">
      <c r="C49" s="297" t="inlineStr">
        <is>
          <t>Total</t>
        </is>
      </c>
      <c r="D49" s="10" t="n"/>
      <c r="E49" s="10">
        <f>SUM(E27:E48)</f>
        <v/>
      </c>
      <c r="F49" s="992">
        <f>SUM(F27:F42)</f>
        <v/>
      </c>
      <c r="G49" s="992">
        <f>SUM(G27:G42)</f>
        <v/>
      </c>
      <c r="H49" s="992">
        <f>SUM(H27:H42)</f>
        <v/>
      </c>
      <c r="I49" s="992">
        <f>SUM(I27:I42)</f>
        <v/>
      </c>
      <c r="J49" s="992">
        <f>SUM(J27:J42)</f>
        <v/>
      </c>
      <c r="K49" s="992">
        <f>SUM(K27:K42)</f>
        <v/>
      </c>
      <c r="L49" s="992" t="n"/>
      <c r="M49" s="992">
        <f>SUM(M27:M42)</f>
        <v/>
      </c>
      <c r="N49" s="992">
        <f>SUM(N27:N42)</f>
        <v/>
      </c>
      <c r="O49" s="992">
        <f>SUM(O27:O42)</f>
        <v/>
      </c>
      <c r="P49" s="992">
        <f>SUM(P27:P42)</f>
        <v/>
      </c>
      <c r="Q49" s="992">
        <f>SUM(Q27:Q42)</f>
        <v/>
      </c>
      <c r="R49" s="992">
        <f>SUM(R27:R42)</f>
        <v/>
      </c>
      <c r="S49" s="992">
        <f>SUM(S27:S42)</f>
        <v/>
      </c>
      <c r="T49" s="992">
        <f>SUM(T27:T42)</f>
        <v/>
      </c>
      <c r="U49" s="992">
        <f>SUM(U27:U42)</f>
        <v/>
      </c>
      <c r="V49" s="992">
        <f>SUM(V27:V42)</f>
        <v/>
      </c>
      <c r="W49" s="992">
        <f>SUM(W27:W42)</f>
        <v/>
      </c>
      <c r="X49" s="992">
        <f>SUM(X27:X42)</f>
        <v/>
      </c>
      <c r="Y49" s="992">
        <f>SUM(Y27:Y42)</f>
        <v/>
      </c>
      <c r="Z49" s="992">
        <f>SUM(Z27:Z42)</f>
        <v/>
      </c>
      <c r="AA49" s="991" t="n"/>
    </row>
    <row r="50">
      <c r="E50" s="975" t="n"/>
      <c r="R50" s="985" t="n"/>
      <c r="S50" s="985" t="n"/>
      <c r="Z50" s="987">
        <f>Y49+T49+S49+R49+Q49+M49+I49+H49</f>
        <v/>
      </c>
    </row>
    <row r="51">
      <c r="D51" s="286" t="inlineStr">
        <is>
          <t>Total CR.</t>
        </is>
      </c>
      <c r="E51" s="993">
        <f>+E49+E21</f>
        <v/>
      </c>
    </row>
    <row r="52">
      <c r="D52" s="286" t="inlineStr">
        <is>
          <t>Total DR.</t>
        </is>
      </c>
      <c r="E52" s="993">
        <f>+M21+O21+Q21+R21+S21+T21+Y21+H21+I21</f>
        <v/>
      </c>
    </row>
    <row r="54">
      <c r="E54" s="985" t="n"/>
    </row>
    <row r="57">
      <c r="C57">
        <f>+CELL("filename")</f>
        <v/>
      </c>
    </row>
  </sheetData>
  <mergeCells count="52">
    <mergeCell ref="C4:Z4"/>
    <mergeCell ref="W25:W26"/>
    <mergeCell ref="C6:G6"/>
    <mergeCell ref="C24:G24"/>
    <mergeCell ref="F25:F26"/>
    <mergeCell ref="N25:N26"/>
    <mergeCell ref="N7:N8"/>
    <mergeCell ref="R7:R8"/>
    <mergeCell ref="X7:X8"/>
    <mergeCell ref="G7:G8"/>
    <mergeCell ref="Z25:Z26"/>
    <mergeCell ref="Z7:Z8"/>
    <mergeCell ref="I7:I8"/>
    <mergeCell ref="M7:M8"/>
    <mergeCell ref="S7:S8"/>
    <mergeCell ref="U7:U8"/>
    <mergeCell ref="W7:W8"/>
    <mergeCell ref="R25:R26"/>
    <mergeCell ref="T25:T26"/>
    <mergeCell ref="I25:I26"/>
    <mergeCell ref="C1:Z3"/>
    <mergeCell ref="M25:M26"/>
    <mergeCell ref="C25:C26"/>
    <mergeCell ref="O25:O26"/>
    <mergeCell ref="U25:U26"/>
    <mergeCell ref="D7:D8"/>
    <mergeCell ref="Y7:Y8"/>
    <mergeCell ref="H7:H8"/>
    <mergeCell ref="J7:J8"/>
    <mergeCell ref="P7:P8"/>
    <mergeCell ref="L25:L26"/>
    <mergeCell ref="Y25:Y26"/>
    <mergeCell ref="J25:J26"/>
    <mergeCell ref="T7:T8"/>
    <mergeCell ref="D25:D26"/>
    <mergeCell ref="C7:C8"/>
    <mergeCell ref="V7:V8"/>
    <mergeCell ref="E7:E8"/>
    <mergeCell ref="K7:K8"/>
    <mergeCell ref="G25:G26"/>
    <mergeCell ref="O7:O8"/>
    <mergeCell ref="Q7:Q8"/>
    <mergeCell ref="V25:V26"/>
    <mergeCell ref="E25:E26"/>
    <mergeCell ref="X25:X26"/>
    <mergeCell ref="K25:K26"/>
    <mergeCell ref="Q25:Q26"/>
    <mergeCell ref="S25:S26"/>
    <mergeCell ref="F7:F8"/>
    <mergeCell ref="L7:L8"/>
    <mergeCell ref="H25:H26"/>
    <mergeCell ref="P25:P26"/>
  </mergeCells>
  <pageMargins left="0.7" right="0.7" top="0.75" bottom="0.75" header="0.3" footer="0.3"/>
  <pageSetup orientation="landscape" paperSize="9" scale="51" verticalDpi="1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P119"/>
  <sheetViews>
    <sheetView view="pageBreakPreview" topLeftCell="A54" zoomScale="85" zoomScaleNormal="85" zoomScaleSheetLayoutView="85" workbookViewId="0">
      <selection activeCell="C23" sqref="C23"/>
    </sheetView>
  </sheetViews>
  <sheetFormatPr baseColWidth="8" defaultColWidth="9" defaultRowHeight="14.25"/>
  <cols>
    <col width="82.140625" customWidth="1" style="1" min="1" max="1"/>
    <col width="18.5703125" bestFit="1" customWidth="1" style="1" min="2" max="2"/>
    <col width="15.28515625" customWidth="1" style="1" min="3" max="3"/>
    <col width="17.5703125" customWidth="1" style="1" min="4" max="4"/>
    <col width="16.85546875" customWidth="1" style="1" min="5" max="5"/>
    <col width="18.85546875" bestFit="1" customWidth="1" style="1" min="6" max="6"/>
    <col width="13.140625" customWidth="1" style="1" min="7" max="7"/>
    <col width="13.7109375" bestFit="1" customWidth="1" style="1" min="8" max="8"/>
    <col width="41.140625" bestFit="1" customWidth="1" style="1" min="9" max="9"/>
    <col width="14.7109375" bestFit="1" customWidth="1" style="1" min="10" max="10"/>
    <col width="11.140625" bestFit="1" customWidth="1" style="1" min="11" max="11"/>
    <col width="10.5703125" bestFit="1" customWidth="1" style="1" min="12" max="12"/>
    <col width="11.42578125" bestFit="1" customWidth="1" style="1" min="13" max="13"/>
    <col width="9.7109375" bestFit="1" customWidth="1" style="1" min="14" max="14"/>
    <col width="9" customWidth="1" style="1" min="15" max="16384"/>
  </cols>
  <sheetData>
    <row r="1" ht="15" customHeight="1">
      <c r="A1" s="994" t="inlineStr">
        <is>
          <t>Sun Realty</t>
        </is>
      </c>
      <c r="B1" s="964" t="n"/>
      <c r="C1" s="964" t="n"/>
      <c r="D1" s="964" t="n"/>
      <c r="E1" s="964" t="n"/>
      <c r="F1" s="964" t="n"/>
      <c r="G1" s="964" t="n"/>
      <c r="H1" s="965" t="n"/>
    </row>
    <row r="2" ht="15" customHeight="1">
      <c r="A2" s="966" t="n"/>
      <c r="H2" s="967" t="n"/>
    </row>
    <row r="3" ht="15.75" customHeight="1">
      <c r="A3" s="968" t="n"/>
      <c r="B3" s="969" t="n"/>
      <c r="C3" s="969" t="n"/>
      <c r="D3" s="969" t="n"/>
      <c r="E3" s="969" t="n"/>
      <c r="F3" s="969" t="n"/>
      <c r="G3" s="969" t="n"/>
      <c r="H3" s="970" t="n"/>
    </row>
    <row r="4" ht="24" customHeight="1">
      <c r="A4" s="995" t="inlineStr">
        <is>
          <t xml:space="preserve">                      GST PAYABLE ON COMMERCIAL CONSTRUCTION  FOR THE MONTH OF AUG-26</t>
        </is>
      </c>
      <c r="B4" s="972" t="n"/>
      <c r="C4" s="972" t="n"/>
      <c r="D4" s="972" t="n"/>
      <c r="E4" s="972" t="n"/>
      <c r="F4" s="972" t="n"/>
      <c r="G4" s="972" t="n"/>
      <c r="H4" s="973" t="n"/>
    </row>
    <row r="5" ht="15" customHeight="1" thickBot="1"/>
    <row r="6" ht="26.25" customHeight="1" thickBot="1">
      <c r="A6" s="996" t="inlineStr">
        <is>
          <t>Supply</t>
        </is>
      </c>
      <c r="B6" s="997" t="inlineStr">
        <is>
          <t>AMOUNT</t>
        </is>
      </c>
      <c r="C6" s="997" t="inlineStr">
        <is>
          <t>LAND VALUE (1/3)</t>
        </is>
      </c>
      <c r="D6" s="997" t="inlineStr">
        <is>
          <t>TAXABLE VALUE (2/3)</t>
        </is>
      </c>
      <c r="E6" s="997" t="inlineStr">
        <is>
          <t>RATE</t>
        </is>
      </c>
      <c r="F6" s="997" t="inlineStr">
        <is>
          <t>CGST @ 9%</t>
        </is>
      </c>
      <c r="G6" s="997" t="inlineStr">
        <is>
          <t>SGST@ 9%</t>
        </is>
      </c>
      <c r="H6" s="998" t="inlineStr">
        <is>
          <t>TOTAL</t>
        </is>
      </c>
    </row>
    <row r="7">
      <c r="A7" s="999" t="n"/>
      <c r="B7" s="1000" t="n"/>
      <c r="C7" s="1000" t="n"/>
      <c r="D7" s="999" t="n"/>
      <c r="E7" s="999" t="n"/>
      <c r="F7" s="1000" t="n"/>
      <c r="G7" s="1000" t="n"/>
      <c r="H7" s="1001" t="n"/>
    </row>
    <row r="8">
      <c r="A8" s="1002" t="inlineStr">
        <is>
          <t>COMMERCIAL CONSTRUCTION SERVICE</t>
        </is>
      </c>
      <c r="B8" s="1003">
        <f>'SUN REALTY-MEM COLL'!Z21</f>
        <v/>
      </c>
      <c r="C8" s="1003">
        <f>B8/3</f>
        <v/>
      </c>
      <c r="D8" s="1004">
        <f>B8-C8</f>
        <v/>
      </c>
      <c r="E8" s="527" t="n">
        <v>0.18</v>
      </c>
      <c r="F8" s="1005">
        <f>+D8*9%</f>
        <v/>
      </c>
      <c r="G8" s="1005">
        <f>+D8*9%</f>
        <v/>
      </c>
      <c r="H8" s="1006">
        <f>+F8+G8</f>
        <v/>
      </c>
      <c r="I8" s="1007" t="n"/>
      <c r="J8" s="1007" t="n"/>
      <c r="K8" s="1007" t="n"/>
    </row>
    <row r="9">
      <c r="A9" s="1008" t="inlineStr">
        <is>
          <t>Refundable Deposite Income (B2C)</t>
        </is>
      </c>
      <c r="B9" s="1003">
        <f>+'SUN REALTY-MEM COLL'!W21+'SUN REALTY-MEM COLL'!W49</f>
        <v/>
      </c>
      <c r="C9" s="1003" t="n"/>
      <c r="D9" s="504">
        <f>B9*100/118</f>
        <v/>
      </c>
      <c r="E9" s="527" t="n">
        <v>0.18</v>
      </c>
      <c r="F9" s="1005">
        <f>+D9*9%</f>
        <v/>
      </c>
      <c r="G9" s="1005">
        <f>+D9*9%</f>
        <v/>
      </c>
      <c r="H9" s="1006">
        <f>+F9+G9</f>
        <v/>
      </c>
      <c r="I9" s="1007" t="n"/>
      <c r="J9" s="1007" t="n"/>
      <c r="K9" s="1007" t="n"/>
    </row>
    <row r="10">
      <c r="A10" s="1002" t="inlineStr">
        <is>
          <t>B2B E- Invoice Effect In Payable</t>
        </is>
      </c>
      <c r="B10" s="1003" t="n"/>
      <c r="C10" s="1003" t="n"/>
      <c r="D10" s="1004" t="n"/>
      <c r="E10" s="527" t="n"/>
      <c r="F10" s="1005" t="n">
        <v>0</v>
      </c>
      <c r="G10" s="1005" t="n">
        <v>0</v>
      </c>
      <c r="H10" s="1006" t="n"/>
      <c r="I10" s="342" t="n"/>
    </row>
    <row r="11">
      <c r="A11" s="1002" t="inlineStr">
        <is>
          <t xml:space="preserve">Less : Refund </t>
        </is>
      </c>
      <c r="B11" s="1003">
        <f>-'SUN REALTY-MEM COLL'!H21</f>
        <v/>
      </c>
      <c r="C11" s="1003">
        <f>+B11/3</f>
        <v/>
      </c>
      <c r="D11" s="1004">
        <f>+B11-C11</f>
        <v/>
      </c>
      <c r="E11" s="527" t="n">
        <v>0.18</v>
      </c>
      <c r="F11" s="1005">
        <f>+D11*9%</f>
        <v/>
      </c>
      <c r="G11" s="1005">
        <f>+D11*9%</f>
        <v/>
      </c>
      <c r="H11" s="1006">
        <f>+F11+G11</f>
        <v/>
      </c>
      <c r="I11" s="1007" t="n"/>
    </row>
    <row r="12" ht="15" customHeight="1">
      <c r="A12" s="1002" t="inlineStr">
        <is>
          <t>ADD:  Maintenance Expence</t>
        </is>
      </c>
      <c r="B12" s="1003">
        <f>'SUN REALTY-MEM COLL'!J21+'SUN REALTY-MEM COLL'!J49</f>
        <v/>
      </c>
      <c r="C12" s="1003" t="n"/>
      <c r="D12" s="1004" t="n"/>
      <c r="E12" s="527" t="n">
        <v>0.18</v>
      </c>
      <c r="F12" s="1005">
        <f>B12*9/100</f>
        <v/>
      </c>
      <c r="G12" s="1005">
        <f>F12</f>
        <v/>
      </c>
      <c r="H12" s="1006">
        <f>+F12+G12</f>
        <v/>
      </c>
      <c r="I12" s="1007" t="n"/>
    </row>
    <row r="13" ht="15.75" customHeight="1">
      <c r="A13" s="1002" t="inlineStr">
        <is>
          <t>ADD: Receipt of AEC, AUDA</t>
        </is>
      </c>
      <c r="B13" s="1003">
        <f>'SUN REALTY-MEM COLL'!U21</f>
        <v/>
      </c>
      <c r="C13" s="1003">
        <f>B13/3</f>
        <v/>
      </c>
      <c r="D13" s="1004">
        <f>B13-C13</f>
        <v/>
      </c>
      <c r="E13" s="527" t="n">
        <v>0.18</v>
      </c>
      <c r="F13" s="1005">
        <f>+D13*9%</f>
        <v/>
      </c>
      <c r="G13" s="1005">
        <f>+D13*9%</f>
        <v/>
      </c>
      <c r="H13" s="1006">
        <f>+F13+G13</f>
        <v/>
      </c>
      <c r="I13" s="1007" t="n"/>
    </row>
    <row r="14" ht="15.75" customHeight="1">
      <c r="A14" s="1002" t="n"/>
      <c r="B14" s="1003" t="n"/>
      <c r="C14" s="1003" t="n"/>
      <c r="D14" s="1004" t="n"/>
      <c r="E14" s="527" t="n"/>
      <c r="F14" s="1005" t="n"/>
      <c r="G14" s="1005" t="n"/>
      <c r="H14" s="1006" t="n"/>
    </row>
    <row r="15" ht="15.75" customHeight="1">
      <c r="A15" s="1009" t="inlineStr">
        <is>
          <t>LESS:- Entry of Receipt deleted Back dated hence excess payment shows</t>
        </is>
      </c>
      <c r="B15" s="1003" t="n"/>
      <c r="C15" s="1003" t="n"/>
      <c r="D15" s="1004" t="n"/>
      <c r="E15" s="527" t="n"/>
      <c r="F15" s="1005" t="n"/>
      <c r="G15" s="1005" t="n"/>
      <c r="H15" s="1006" t="n"/>
    </row>
    <row r="16" ht="15.75" customHeight="1">
      <c r="A16" s="1002" t="n"/>
      <c r="B16" s="1003" t="n"/>
      <c r="C16" s="1003" t="n"/>
      <c r="D16" s="1004" t="n">
        <v>0</v>
      </c>
      <c r="E16" s="527" t="n">
        <v>0.18</v>
      </c>
      <c r="F16" s="1005">
        <f>B16*9/100</f>
        <v/>
      </c>
      <c r="G16" s="1005">
        <f>F16</f>
        <v/>
      </c>
      <c r="H16" s="1006">
        <f>+F16+G16</f>
        <v/>
      </c>
    </row>
    <row r="17" ht="36" customHeight="1">
      <c r="A17" s="232" t="n"/>
      <c r="B17" s="1003" t="n">
        <v>0</v>
      </c>
      <c r="C17" s="1003">
        <f>+B17/3</f>
        <v/>
      </c>
      <c r="D17" s="1004">
        <f>B17-C17</f>
        <v/>
      </c>
      <c r="E17" s="527" t="n">
        <v>0.18</v>
      </c>
      <c r="F17" s="1005">
        <f>+D17*9%</f>
        <v/>
      </c>
      <c r="G17" s="1005">
        <f>+D17*9%</f>
        <v/>
      </c>
      <c r="H17" s="1006">
        <f>+F17+G17</f>
        <v/>
      </c>
    </row>
    <row r="18" ht="15" customHeight="1" thickBot="1">
      <c r="A18" s="219" t="n"/>
      <c r="B18" s="1003" t="n"/>
      <c r="C18" s="1003">
        <f>+B18/3</f>
        <v/>
      </c>
      <c r="D18" s="1004">
        <f>+B18-C18</f>
        <v/>
      </c>
      <c r="E18" s="527" t="n">
        <v>0.18</v>
      </c>
      <c r="F18" s="1005">
        <f>+D18*9%</f>
        <v/>
      </c>
      <c r="G18" s="1005">
        <f>+D18*9%</f>
        <v/>
      </c>
      <c r="H18" s="1006">
        <f>+F18+G18</f>
        <v/>
      </c>
      <c r="J18" s="1007" t="n"/>
    </row>
    <row r="19" ht="15.75" customHeight="1" thickBot="1">
      <c r="A19" s="1010" t="inlineStr">
        <is>
          <t>TOTAL</t>
        </is>
      </c>
      <c r="B19" s="1011">
        <f>SUM(B8:B18)</f>
        <v/>
      </c>
      <c r="C19" s="1011">
        <f>SUM(C8:C18)</f>
        <v/>
      </c>
      <c r="D19" s="1011">
        <f>SUM(D8:D18)</f>
        <v/>
      </c>
      <c r="E19" s="535" t="n"/>
      <c r="F19" s="1011">
        <f>SUM(F8:F18)</f>
        <v/>
      </c>
      <c r="G19" s="1011">
        <f>SUM(G8:G18)</f>
        <v/>
      </c>
      <c r="H19" s="1012">
        <f>SUM(H8:H18)</f>
        <v/>
      </c>
      <c r="J19" s="1007" t="n"/>
    </row>
    <row r="20">
      <c r="A20" s="1013" t="inlineStr">
        <is>
          <t>B2C</t>
        </is>
      </c>
      <c r="B20" s="1003" t="n"/>
      <c r="C20" s="1003" t="n"/>
      <c r="D20" s="1014" t="n"/>
      <c r="E20" s="528" t="n"/>
      <c r="F20" s="1015" t="n"/>
      <c r="G20" s="1015" t="n"/>
      <c r="H20" s="1016" t="n"/>
      <c r="J20" s="1007" t="n"/>
    </row>
    <row r="21" ht="15.75" customHeight="1">
      <c r="A21" s="231" t="inlineStr">
        <is>
          <t xml:space="preserve">Cancellation Income </t>
        </is>
      </c>
      <c r="B21" s="1003" t="n">
        <v>0</v>
      </c>
      <c r="C21" s="1017" t="n">
        <v>0</v>
      </c>
      <c r="D21" s="1004" t="n"/>
      <c r="E21" s="527" t="n">
        <v>0.18</v>
      </c>
      <c r="F21" s="1005">
        <f>+D21*9%</f>
        <v/>
      </c>
      <c r="G21" s="1005">
        <f>+D21*9%</f>
        <v/>
      </c>
      <c r="H21" s="1006">
        <f>+F21+G21</f>
        <v/>
      </c>
      <c r="J21" s="1007" t="n"/>
    </row>
    <row r="22" ht="15.75" customHeight="1">
      <c r="A22" s="231" t="n"/>
      <c r="B22" s="1003" t="n"/>
      <c r="C22" s="1003" t="n"/>
      <c r="D22" s="1004" t="n"/>
      <c r="E22" s="527" t="n">
        <v>0.18</v>
      </c>
      <c r="F22" s="1005">
        <f>+D22*9%</f>
        <v/>
      </c>
      <c r="G22" s="1005">
        <f>+D22*9%</f>
        <v/>
      </c>
      <c r="H22" s="1006">
        <f>+F22+G22</f>
        <v/>
      </c>
      <c r="J22" s="1007" t="n"/>
    </row>
    <row r="23" ht="15.75" customHeight="1">
      <c r="A23" s="219" t="inlineStr">
        <is>
          <t>Advance adjusted  for same</t>
        </is>
      </c>
      <c r="B23" s="1003" t="n"/>
      <c r="C23" s="1003" t="n"/>
      <c r="D23" s="1004">
        <f>-B23*2/3</f>
        <v/>
      </c>
      <c r="E23" s="527" t="n">
        <v>0.18</v>
      </c>
      <c r="F23" s="1005">
        <f>+D23*9%</f>
        <v/>
      </c>
      <c r="G23" s="1005">
        <f>+D23*9%</f>
        <v/>
      </c>
      <c r="H23" s="1006">
        <f>+F23+G23</f>
        <v/>
      </c>
      <c r="J23" s="1007" t="n"/>
    </row>
    <row r="24" ht="42" customHeight="1">
      <c r="A24" s="219" t="inlineStr">
        <is>
          <t>Extra work income (2/3portion only)</t>
        </is>
      </c>
      <c r="B24" s="1003">
        <f>+'SUN REALTY-MEM COLL'!S21</f>
        <v/>
      </c>
      <c r="C24" s="1003" t="n"/>
      <c r="D24" s="1004">
        <f>B24*2/3</f>
        <v/>
      </c>
      <c r="E24" s="527" t="n">
        <v>0.18</v>
      </c>
      <c r="F24" s="1005">
        <f>+D24*9%</f>
        <v/>
      </c>
      <c r="G24" s="1005">
        <f>+D24*9%</f>
        <v/>
      </c>
      <c r="H24" s="1006">
        <f>+F24+G24</f>
        <v/>
      </c>
      <c r="J24" s="1007" t="n"/>
    </row>
    <row r="25">
      <c r="A25" s="219" t="inlineStr">
        <is>
          <t>Advance adjusted  for same</t>
        </is>
      </c>
      <c r="B25" s="1003">
        <f>-B24</f>
        <v/>
      </c>
      <c r="C25" s="1003" t="n"/>
      <c r="D25" s="1004">
        <f>B25*2/3</f>
        <v/>
      </c>
      <c r="E25" s="527" t="n">
        <v>0.18</v>
      </c>
      <c r="F25" s="1005">
        <f>+D25*9%</f>
        <v/>
      </c>
      <c r="G25" s="1005">
        <f>+D25*9%</f>
        <v/>
      </c>
      <c r="H25" s="1006">
        <f>+F25+G25</f>
        <v/>
      </c>
      <c r="J25" s="1007" t="n"/>
    </row>
    <row r="26">
      <c r="A26" s="1018" t="inlineStr">
        <is>
          <t>COMMERCIAL CONSTRUCTION SERVICE (AFTER BU)</t>
        </is>
      </c>
      <c r="B26" s="1019">
        <f>+'SUN REALTY-MEM COLL'!R49+'SUN REALTY-MEM COLL'!S49</f>
        <v/>
      </c>
      <c r="C26" s="1020" t="n"/>
      <c r="D26" s="1021" t="n"/>
      <c r="E26" s="559" t="n"/>
      <c r="F26" s="1022" t="n"/>
      <c r="G26" s="1022" t="n"/>
      <c r="H26" s="1023" t="n"/>
      <c r="J26" s="1007" t="n"/>
      <c r="K26" s="1007" t="n"/>
    </row>
    <row r="27" ht="23.25" customHeight="1">
      <c r="A27" s="1024" t="inlineStr">
        <is>
          <t>COMMERCIAL CONSTRUCTION SERVICE (AFTER BU) 
BACK DATED ENTRY in Jan-26 (838, Zahabiya After Bu)</t>
        </is>
      </c>
      <c r="B27" s="772" t="n">
        <v>0</v>
      </c>
      <c r="C27" s="1020" t="n"/>
      <c r="D27" s="1021" t="n"/>
      <c r="E27" s="559" t="n"/>
      <c r="F27" s="1005" t="n"/>
      <c r="G27" s="1005" t="n"/>
      <c r="H27" s="991" t="n"/>
      <c r="J27" s="1007" t="n"/>
    </row>
    <row r="28" ht="16.5" customHeight="1" thickBot="1">
      <c r="A28" s="1025" t="n"/>
      <c r="B28" s="1020" t="n"/>
      <c r="C28" s="1020" t="n"/>
      <c r="D28" s="1021" t="n"/>
      <c r="E28" s="559" t="n"/>
      <c r="F28" s="1005" t="n"/>
      <c r="G28" s="1005" t="n"/>
      <c r="H28" s="991" t="n"/>
      <c r="J28" s="1007" t="n"/>
    </row>
    <row r="29" ht="15" customHeight="1" thickBot="1">
      <c r="A29" s="1010" t="inlineStr">
        <is>
          <t>TOTAL</t>
        </is>
      </c>
      <c r="B29" s="1026">
        <f>SUM(B22:B27)+B19</f>
        <v/>
      </c>
      <c r="C29" s="1026">
        <f>SUM(C22:C27)+C19</f>
        <v/>
      </c>
      <c r="D29" s="1026">
        <f>SUM(D22:D27)+D19</f>
        <v/>
      </c>
      <c r="E29" s="536" t="n"/>
      <c r="F29" s="1026">
        <f>SUM(F22:F27)+F19</f>
        <v/>
      </c>
      <c r="G29" s="1026">
        <f>SUM(G22:G27)+G19</f>
        <v/>
      </c>
      <c r="H29" s="1027">
        <f>SUM(H22:H27)</f>
        <v/>
      </c>
      <c r="J29" s="1007" t="n"/>
    </row>
    <row r="30">
      <c r="A30" s="1028" t="inlineStr">
        <is>
          <t>B2C SALE &amp; Advance adjustment (as per sale deed sheet)</t>
        </is>
      </c>
      <c r="B30" s="1029" t="n"/>
      <c r="C30" s="1029" t="n"/>
      <c r="D30" s="1030" t="n"/>
      <c r="E30" s="564" t="n">
        <v>0.18</v>
      </c>
      <c r="F30" s="1030">
        <f>+D30*9%</f>
        <v/>
      </c>
      <c r="G30" s="1030">
        <f>+D30*9%</f>
        <v/>
      </c>
      <c r="H30" s="1030">
        <f>+F30+G30</f>
        <v/>
      </c>
      <c r="J30" s="1007" t="n"/>
    </row>
    <row r="31">
      <c r="A31" s="1031" t="n"/>
      <c r="B31" s="1032" t="n"/>
      <c r="C31" s="1033" t="n"/>
      <c r="D31" s="991" t="n"/>
      <c r="E31" s="529" t="n"/>
      <c r="F31" s="991" t="n"/>
      <c r="G31" s="991" t="n"/>
      <c r="H31" s="991" t="n"/>
      <c r="J31" s="1007" t="n"/>
    </row>
    <row r="32" ht="15" customHeight="1" thickBot="1">
      <c r="A32" s="1034" t="n"/>
      <c r="B32" s="1016" t="n"/>
      <c r="C32" s="1016" t="n"/>
      <c r="D32" s="1016" t="n"/>
      <c r="E32" s="530" t="n"/>
      <c r="F32" s="1016" t="n"/>
      <c r="G32" s="1016" t="n"/>
      <c r="H32" s="1016" t="n"/>
      <c r="J32" s="1007" t="n"/>
    </row>
    <row r="33">
      <c r="A33" s="1035" t="inlineStr">
        <is>
          <t>Supply</t>
        </is>
      </c>
      <c r="B33" s="1035" t="inlineStr">
        <is>
          <t xml:space="preserve">GSTIN </t>
        </is>
      </c>
      <c r="C33" s="965" t="n"/>
      <c r="D33" s="1035" t="inlineStr">
        <is>
          <t>AMOUNT</t>
        </is>
      </c>
      <c r="E33" s="1036" t="inlineStr">
        <is>
          <t>RATE</t>
        </is>
      </c>
      <c r="F33" s="1035" t="inlineStr">
        <is>
          <t>CGST</t>
        </is>
      </c>
      <c r="G33" s="1035" t="inlineStr">
        <is>
          <t>SGST</t>
        </is>
      </c>
      <c r="H33" s="1035" t="inlineStr">
        <is>
          <t>TOTAL</t>
        </is>
      </c>
      <c r="J33" s="1007" t="n"/>
    </row>
    <row r="34" ht="15" customHeight="1" thickBot="1">
      <c r="A34" s="979" t="n"/>
      <c r="B34" s="968" t="n"/>
      <c r="C34" s="970" t="n"/>
      <c r="D34" s="979" t="n"/>
      <c r="E34" s="979" t="n"/>
      <c r="F34" s="979" t="n"/>
      <c r="G34" s="979" t="n"/>
      <c r="H34" s="979" t="n"/>
      <c r="J34" s="1007" t="n"/>
    </row>
    <row r="35">
      <c r="A35" s="1037" t="n"/>
      <c r="B35" s="1037" t="n"/>
      <c r="C35" s="965" t="n"/>
      <c r="D35" s="1038" t="n"/>
      <c r="E35" s="531" t="n"/>
      <c r="F35" s="1038" t="n"/>
      <c r="G35" s="1038" t="n"/>
      <c r="H35" s="1038" t="n"/>
      <c r="J35" s="1007" t="n"/>
    </row>
    <row r="36" ht="25.5" customHeight="1">
      <c r="A36" s="1039" t="inlineStr">
        <is>
          <t>Rent income-Meglyn Technologies Pvt Ltd   (SAC-)]
 ( To be Confirm is there any income )</t>
        </is>
      </c>
      <c r="B36" s="657" t="inlineStr">
        <is>
          <t>24AAJCM9952F1Z6</t>
        </is>
      </c>
      <c r="C36" s="967" t="n"/>
      <c r="D36" s="1040" t="n"/>
      <c r="E36" s="532" t="n">
        <v>0.18</v>
      </c>
      <c r="F36" s="1040">
        <f>+D36*E36/2</f>
        <v/>
      </c>
      <c r="G36" s="1040">
        <f>+D36*E36/2</f>
        <v/>
      </c>
      <c r="H36" s="1040">
        <f>+SUM(F36:G36)</f>
        <v/>
      </c>
      <c r="J36" s="1007" t="n"/>
    </row>
    <row r="37" ht="15" customHeight="1" thickBot="1">
      <c r="A37" s="554" t="n"/>
      <c r="B37" s="1041" t="n"/>
      <c r="C37" s="970" t="n"/>
      <c r="D37" s="1042" t="n"/>
      <c r="E37" s="533" t="n"/>
      <c r="F37" s="1042" t="n"/>
      <c r="G37" s="1042" t="n"/>
      <c r="H37" s="1042" t="n"/>
      <c r="J37" s="1007" t="n"/>
    </row>
    <row r="38" ht="15" customHeight="1" thickBot="1">
      <c r="A38" s="1010" t="inlineStr">
        <is>
          <t>TOTAL</t>
        </is>
      </c>
      <c r="B38" s="1043" t="n"/>
      <c r="C38" s="973" t="n"/>
      <c r="D38" s="1044">
        <f>+SUM(D35:D37)</f>
        <v/>
      </c>
      <c r="E38" s="1044" t="n"/>
      <c r="F38" s="1044">
        <f>+SUM(F35:F37)</f>
        <v/>
      </c>
      <c r="G38" s="1044">
        <f>+SUM(G35:G37)</f>
        <v/>
      </c>
      <c r="H38" s="1044">
        <f>+SUM(H35:H37)</f>
        <v/>
      </c>
      <c r="J38" s="1007" t="n"/>
    </row>
    <row r="39">
      <c r="A39" s="1034" t="n"/>
      <c r="B39" s="1016" t="n"/>
      <c r="C39" s="1016" t="n"/>
      <c r="D39" s="1016" t="n"/>
      <c r="E39" s="1016" t="n"/>
      <c r="F39" s="1016" t="n"/>
      <c r="G39" s="1016" t="n"/>
      <c r="H39" s="1016" t="n"/>
      <c r="J39" s="1007" t="n"/>
      <c r="O39" s="1007" t="n"/>
      <c r="P39" s="1007" t="n"/>
    </row>
    <row r="40" ht="15" customHeight="1" thickBot="1">
      <c r="B40" s="1007" t="n"/>
      <c r="F40" s="1007" t="n"/>
      <c r="G40" s="1007" t="n"/>
      <c r="H40" s="1007" t="n"/>
      <c r="J40" s="1007" t="n"/>
    </row>
    <row r="41" ht="15" customHeight="1" thickBot="1">
      <c r="A41" s="1045" t="inlineStr">
        <is>
          <t xml:space="preserve">                  GST PAYABLE UNDER RCM FOR THE MONTH OF AUG-26</t>
        </is>
      </c>
      <c r="B41" s="972" t="n"/>
      <c r="C41" s="972" t="n"/>
      <c r="D41" s="972" t="n"/>
      <c r="E41" s="972" t="n"/>
      <c r="F41" s="973" t="n"/>
      <c r="G41" s="1016" t="n"/>
      <c r="H41" s="1016" t="n"/>
      <c r="I41" s="440" t="n"/>
      <c r="J41" s="1007" t="n"/>
    </row>
    <row r="42" ht="15" customHeight="1" thickBot="1">
      <c r="A42" s="1046" t="inlineStr">
        <is>
          <t>.</t>
        </is>
      </c>
      <c r="B42" s="972" t="n"/>
      <c r="C42" s="972" t="n"/>
      <c r="D42" s="972" t="n"/>
      <c r="E42" s="972" t="n"/>
      <c r="F42" s="972" t="n"/>
      <c r="G42" s="1016" t="n"/>
      <c r="H42" s="1016" t="n"/>
      <c r="I42" s="440" t="n"/>
    </row>
    <row r="43" ht="15" customHeight="1" thickBot="1">
      <c r="A43" s="1047" t="inlineStr">
        <is>
          <t>Service</t>
        </is>
      </c>
      <c r="B43" s="1048" t="inlineStr">
        <is>
          <t>AMOUNT</t>
        </is>
      </c>
      <c r="C43" s="1048" t="inlineStr">
        <is>
          <t>RATE</t>
        </is>
      </c>
      <c r="D43" s="1048" t="inlineStr">
        <is>
          <t>CGST</t>
        </is>
      </c>
      <c r="E43" s="1048" t="inlineStr">
        <is>
          <t>SGST</t>
        </is>
      </c>
      <c r="F43" s="1049" t="inlineStr">
        <is>
          <t>TOTAL</t>
        </is>
      </c>
      <c r="I43" s="654" t="n"/>
    </row>
    <row r="44" ht="15" customHeight="1" thickBot="1">
      <c r="A44" s="1050" t="n"/>
      <c r="B44" s="1017" t="n"/>
      <c r="C44" s="663" t="n"/>
      <c r="D44" s="1005" t="n"/>
      <c r="E44" s="1005" t="n"/>
      <c r="F44" s="1006" t="n"/>
      <c r="I44" s="442" t="n"/>
    </row>
    <row r="45" ht="15" customHeight="1" thickBot="1">
      <c r="A45" s="1051" t="inlineStr">
        <is>
          <t>SUN GRAVITAS</t>
        </is>
      </c>
      <c r="B45" s="1003" t="n"/>
      <c r="C45" s="663" t="n"/>
      <c r="D45" s="1005" t="n"/>
      <c r="E45" s="1005" t="n"/>
      <c r="F45" s="1006" t="n"/>
    </row>
    <row r="46">
      <c r="A46" s="1050" t="inlineStr">
        <is>
          <t>Advocate fees</t>
        </is>
      </c>
      <c r="B46" s="1017" t="n">
        <v>0</v>
      </c>
      <c r="C46" s="663" t="n">
        <v>0.18</v>
      </c>
      <c r="D46" s="1005">
        <f>+B46*9/100</f>
        <v/>
      </c>
      <c r="E46" s="1005">
        <f>+D46</f>
        <v/>
      </c>
      <c r="F46" s="1006">
        <f>+D46+E46</f>
        <v/>
      </c>
    </row>
    <row r="47" ht="18.75" customHeight="1">
      <c r="A47" s="1052" t="inlineStr">
        <is>
          <t>Carting and Transportation (Gayatri Sales Corp)</t>
        </is>
      </c>
      <c r="B47" s="1017" t="n"/>
      <c r="C47" s="663" t="n">
        <v>0.05</v>
      </c>
      <c r="D47" s="1005">
        <f>+B47*0.025</f>
        <v/>
      </c>
      <c r="E47" s="1005">
        <f>+D47</f>
        <v/>
      </c>
      <c r="F47" s="1006">
        <f>+D47+E47</f>
        <v/>
      </c>
    </row>
    <row r="48">
      <c r="A48" s="1053" t="inlineStr">
        <is>
          <t>Security Services</t>
        </is>
      </c>
      <c r="B48" s="1017" t="n"/>
      <c r="C48" s="663" t="n">
        <v>0.18</v>
      </c>
      <c r="D48" s="1005">
        <f>+B48*9%</f>
        <v/>
      </c>
      <c r="E48" s="1005">
        <f>+B48*9%</f>
        <v/>
      </c>
      <c r="F48" s="1006">
        <f>SUM(D48:E48)</f>
        <v/>
      </c>
    </row>
    <row r="49">
      <c r="A49" s="1053" t="inlineStr">
        <is>
          <t>Sponsharship Services</t>
        </is>
      </c>
      <c r="B49" s="1017" t="n"/>
      <c r="C49" s="663" t="n">
        <v>0.18</v>
      </c>
      <c r="D49" s="1005">
        <f>+B49*9%</f>
        <v/>
      </c>
      <c r="E49" s="1005">
        <f>+B49*9%</f>
        <v/>
      </c>
      <c r="F49" s="1006">
        <f>SUM(D49:E49)</f>
        <v/>
      </c>
    </row>
    <row r="50" ht="15" customHeight="1" thickBot="1">
      <c r="A50" s="1053" t="n"/>
      <c r="B50" s="1017" t="n"/>
      <c r="C50" s="663" t="n"/>
      <c r="D50" s="1005" t="n"/>
      <c r="E50" s="1005" t="n"/>
      <c r="F50" s="1006" t="n"/>
    </row>
    <row r="51" ht="15" customHeight="1" thickBot="1">
      <c r="A51" s="1051" t="inlineStr">
        <is>
          <t>SUN OFFICE</t>
        </is>
      </c>
      <c r="B51" s="1003" t="n"/>
      <c r="C51" s="663" t="n"/>
      <c r="D51" s="1005" t="n"/>
      <c r="E51" s="1005" t="n"/>
      <c r="F51" s="1006" t="n"/>
    </row>
    <row r="52">
      <c r="A52" s="1050" t="inlineStr">
        <is>
          <t>Freight Charges(Gayatri Sales Corporation)</t>
        </is>
      </c>
      <c r="B52" s="1017" t="n"/>
      <c r="C52" s="663" t="n">
        <v>0.05</v>
      </c>
      <c r="D52" s="1005">
        <f>+B52*2.5/100</f>
        <v/>
      </c>
      <c r="E52" s="1005">
        <f>+D52</f>
        <v/>
      </c>
      <c r="F52" s="1006">
        <f>+D52+E52</f>
        <v/>
      </c>
    </row>
    <row r="53">
      <c r="A53" s="1050" t="inlineStr">
        <is>
          <t>Security Expense</t>
        </is>
      </c>
      <c r="B53" s="1017" t="n">
        <v>0</v>
      </c>
      <c r="C53" s="663" t="n">
        <v>0.18</v>
      </c>
      <c r="D53" s="1005">
        <f>+B53*9/100</f>
        <v/>
      </c>
      <c r="E53" s="1005">
        <f>+D53</f>
        <v/>
      </c>
      <c r="F53" s="1006">
        <f>+D53+E53</f>
        <v/>
      </c>
    </row>
    <row r="54">
      <c r="A54" s="1053" t="n"/>
      <c r="B54" s="1017" t="n"/>
      <c r="C54" s="663" t="n"/>
      <c r="D54" s="1005" t="n"/>
      <c r="E54" s="1005" t="n"/>
      <c r="F54" s="1006" t="n"/>
    </row>
    <row r="55" ht="15" customHeight="1" thickBot="1">
      <c r="A55" s="1054" t="inlineStr">
        <is>
          <t>TOTAL</t>
        </is>
      </c>
      <c r="B55" s="1055">
        <f>SUM(B45:B54)</f>
        <v/>
      </c>
      <c r="C55" s="1055" t="n"/>
      <c r="D55" s="1055">
        <f>SUM(D45:D54)</f>
        <v/>
      </c>
      <c r="E55" s="1055">
        <f>SUM(E45:E54)</f>
        <v/>
      </c>
      <c r="F55" s="1055">
        <f>SUM(F45:F54)</f>
        <v/>
      </c>
      <c r="I55" s="1016" t="n"/>
    </row>
    <row r="56" ht="15" customHeight="1" thickBot="1">
      <c r="A56" s="1056" t="n"/>
      <c r="B56" s="1016" t="n"/>
      <c r="C56" s="1016" t="n"/>
      <c r="D56" s="1016" t="n"/>
      <c r="E56" s="1016" t="n"/>
      <c r="F56" s="1056" t="n"/>
      <c r="G56" s="1016" t="n"/>
      <c r="H56" s="1016" t="n"/>
    </row>
    <row r="57" ht="15" customHeight="1" thickBot="1">
      <c r="A57" s="1045" t="inlineStr">
        <is>
          <t xml:space="preserve">                    INPUT TAX CREDIT FOR THE MONTH OF AUG-26</t>
        </is>
      </c>
      <c r="B57" s="972" t="n"/>
      <c r="C57" s="972" t="n"/>
      <c r="D57" s="973" t="n"/>
      <c r="E57" s="1016" t="n"/>
      <c r="F57" s="1016" t="n"/>
      <c r="G57" s="1016" t="n"/>
      <c r="H57" s="1016" t="n"/>
    </row>
    <row r="58" ht="15" customHeight="1" thickBot="1">
      <c r="A58" s="991" t="n"/>
      <c r="B58" s="991" t="n"/>
      <c r="C58" s="991" t="n"/>
      <c r="D58" s="991" t="n"/>
      <c r="E58" s="991" t="n"/>
      <c r="F58" s="991" t="n"/>
      <c r="G58" s="991" t="n"/>
      <c r="H58" s="991" t="n"/>
    </row>
    <row r="59" ht="15" customHeight="1" thickBot="1">
      <c r="A59" s="1035" t="inlineStr">
        <is>
          <t>PARTICULARS</t>
        </is>
      </c>
      <c r="B59" s="1057" t="inlineStr">
        <is>
          <t>CGST</t>
        </is>
      </c>
      <c r="C59" s="1057" t="inlineStr">
        <is>
          <t>SGST</t>
        </is>
      </c>
      <c r="D59" s="1057" t="inlineStr">
        <is>
          <t>IGST</t>
        </is>
      </c>
      <c r="E59" s="1034" t="n"/>
      <c r="F59" s="991" t="n"/>
      <c r="G59" s="991" t="n"/>
      <c r="H59" s="991" t="n"/>
    </row>
    <row r="60">
      <c r="A60" s="1058" t="n"/>
      <c r="B60" s="1037" t="n"/>
      <c r="C60" s="1059" t="n"/>
      <c r="D60" s="1060" t="n"/>
      <c r="E60" s="1034" t="n"/>
      <c r="F60" s="991" t="n"/>
      <c r="G60" s="991" t="n"/>
      <c r="H60" s="991" t="n"/>
    </row>
    <row r="61">
      <c r="A61" s="1061" t="inlineStr">
        <is>
          <t xml:space="preserve">         Opening Balance</t>
        </is>
      </c>
      <c r="B61" s="1062" t="n"/>
      <c r="C61" s="1063">
        <f>+B61</f>
        <v/>
      </c>
      <c r="D61" s="1064" t="n">
        <v>0</v>
      </c>
      <c r="E61" s="1034" t="n"/>
      <c r="F61" s="991" t="n"/>
      <c r="G61" s="991" t="n"/>
      <c r="H61" s="991" t="n"/>
    </row>
    <row r="62">
      <c r="A62" s="1061" t="inlineStr">
        <is>
          <t>Add : ITC FOR THE AUG-26</t>
        </is>
      </c>
      <c r="B62" s="1065" t="n">
        <v>0</v>
      </c>
      <c r="C62" s="1066">
        <f>B62</f>
        <v/>
      </c>
      <c r="D62" s="1067" t="n">
        <v>0</v>
      </c>
      <c r="E62" s="1068" t="n"/>
      <c r="F62" s="991" t="n"/>
      <c r="G62" s="991" t="n"/>
      <c r="H62" s="991" t="n"/>
    </row>
    <row r="63">
      <c r="A63" s="1061" t="inlineStr">
        <is>
          <t>Add : ITC of RCM of NOV-25</t>
        </is>
      </c>
      <c r="B63" s="1069">
        <f>SUM(D46:D49)</f>
        <v/>
      </c>
      <c r="C63" s="1069">
        <f>+B63</f>
        <v/>
      </c>
      <c r="D63" s="1067">
        <f>+G55</f>
        <v/>
      </c>
      <c r="E63" s="1033" t="n"/>
      <c r="F63" s="991" t="n"/>
      <c r="G63" s="991" t="n"/>
      <c r="H63" s="991" t="n"/>
    </row>
    <row r="64">
      <c r="A64" s="1061" t="n"/>
      <c r="B64" s="1069" t="n"/>
      <c r="C64" s="1066">
        <f>B64</f>
        <v/>
      </c>
      <c r="D64" s="1067" t="n"/>
      <c r="E64" s="1033" t="n"/>
      <c r="F64" s="991" t="n"/>
      <c r="G64" s="991" t="n"/>
      <c r="H64" s="991" t="n"/>
    </row>
    <row r="65">
      <c r="A65" s="1061" t="n"/>
      <c r="B65" s="1069" t="n"/>
      <c r="C65" s="1066">
        <f>+B65</f>
        <v/>
      </c>
      <c r="D65" s="1067" t="n"/>
      <c r="E65" s="1033" t="n"/>
      <c r="F65" s="991" t="n"/>
      <c r="G65" s="991" t="n"/>
      <c r="H65" s="991" t="n"/>
    </row>
    <row r="66">
      <c r="A66" s="1061" t="inlineStr">
        <is>
          <t>Add : ITC of Previous Month (Now reflacting in GSTR-2B)</t>
        </is>
      </c>
      <c r="B66" s="1069" t="n">
        <v>0</v>
      </c>
      <c r="C66" s="1066">
        <f>B66</f>
        <v/>
      </c>
      <c r="D66" s="1067" t="n">
        <v>0</v>
      </c>
      <c r="E66" s="1033" t="n"/>
      <c r="F66" s="991" t="n"/>
      <c r="G66" s="991" t="n"/>
      <c r="H66" s="991" t="n"/>
    </row>
    <row r="67">
      <c r="A67" s="1061" t="inlineStr">
        <is>
          <t xml:space="preserve">Less: Credit Note In GSTR-2B but not in Book </t>
        </is>
      </c>
      <c r="B67" s="1069" t="n"/>
      <c r="C67" s="1066">
        <f>+B67</f>
        <v/>
      </c>
      <c r="D67" s="1067" t="n"/>
      <c r="E67" s="1033" t="n"/>
      <c r="F67" s="991" t="n"/>
      <c r="G67" s="991" t="n"/>
      <c r="H67" s="991" t="n"/>
    </row>
    <row r="68">
      <c r="A68" s="1061" t="inlineStr">
        <is>
          <t>Add:ITC of Bills which are in GSTR-2B but not in Books (DEC)</t>
        </is>
      </c>
      <c r="B68" s="1069" t="n"/>
      <c r="C68" s="1066">
        <f>B68</f>
        <v/>
      </c>
      <c r="D68" s="1067" t="n"/>
      <c r="E68" s="1070" t="n"/>
      <c r="F68" s="991" t="n"/>
      <c r="G68" s="991" t="n"/>
      <c r="H68" s="991" t="n"/>
    </row>
    <row r="69">
      <c r="A69" s="1061" t="inlineStr">
        <is>
          <t>Add:ITC of Bills which are in GSTR-2B but not in Books (Decil)</t>
        </is>
      </c>
      <c r="B69" s="1069" t="n"/>
      <c r="C69" s="1066">
        <f>B69</f>
        <v/>
      </c>
      <c r="D69" s="1067" t="n"/>
      <c r="E69" s="1033" t="n"/>
      <c r="F69" s="991" t="n"/>
      <c r="G69" s="991" t="n"/>
      <c r="H69" s="991" t="n"/>
    </row>
    <row r="70">
      <c r="A70" s="1071" t="inlineStr">
        <is>
          <t xml:space="preserve">         Total CENVAT available</t>
        </is>
      </c>
      <c r="B70" s="1072">
        <f>SUM(B61:B69)</f>
        <v/>
      </c>
      <c r="C70" s="1073">
        <f>SUM(C61:C69)</f>
        <v/>
      </c>
      <c r="D70" s="1073">
        <f>SUM(D61:D69)</f>
        <v/>
      </c>
      <c r="E70" s="1033" t="n"/>
      <c r="F70" s="1074" t="n"/>
      <c r="G70" s="1074" t="n"/>
      <c r="H70" s="1074" t="n"/>
    </row>
    <row r="71">
      <c r="A71" s="1061" t="inlineStr">
        <is>
          <t>Less : ITC OF IGST Utilized for NOV-25</t>
        </is>
      </c>
      <c r="B71" s="1069" t="n">
        <v>0</v>
      </c>
      <c r="C71" s="1066">
        <f>B71</f>
        <v/>
      </c>
      <c r="D71" s="1067" t="n"/>
      <c r="E71" s="1033" t="n"/>
      <c r="F71" s="1074" t="n"/>
      <c r="G71" s="1074" t="n"/>
      <c r="H71" s="1074" t="n"/>
    </row>
    <row r="72">
      <c r="A72" s="1061" t="inlineStr">
        <is>
          <t>Less : ITC REVERSED FOR THE NOV-25</t>
        </is>
      </c>
      <c r="B72" s="1069">
        <f>-B102</f>
        <v/>
      </c>
      <c r="C72" s="1069">
        <f>-C102</f>
        <v/>
      </c>
      <c r="D72" s="1069">
        <f>-D102</f>
        <v/>
      </c>
      <c r="E72" s="1033" t="n"/>
      <c r="F72" s="991" t="n"/>
      <c r="G72" s="991" t="n"/>
      <c r="H72" s="991" t="n"/>
    </row>
    <row r="73">
      <c r="A73" s="1075" t="inlineStr">
        <is>
          <t>Net ITC Available for Utilisation</t>
        </is>
      </c>
      <c r="B73" s="1076">
        <f>B70+B72</f>
        <v/>
      </c>
      <c r="C73" s="1076">
        <f>C70+C72</f>
        <v/>
      </c>
      <c r="D73" s="1076">
        <f>D70+D72</f>
        <v/>
      </c>
      <c r="E73" s="1016" t="n"/>
      <c r="F73" s="1016" t="n"/>
      <c r="G73" s="1016" t="n"/>
      <c r="H73" s="991" t="n"/>
    </row>
    <row r="74" ht="15" customHeight="1" thickBot="1">
      <c r="A74" s="1077" t="inlineStr">
        <is>
          <t>Less : ITC Utilised FOR THE NOV-25</t>
        </is>
      </c>
      <c r="B74" s="1078">
        <f>+B83</f>
        <v/>
      </c>
      <c r="C74" s="1078">
        <f>+B74</f>
        <v/>
      </c>
      <c r="D74" s="1078">
        <f>+B82+C82</f>
        <v/>
      </c>
      <c r="E74" s="1033" t="n"/>
      <c r="F74" s="991" t="n"/>
      <c r="G74" s="991" t="n"/>
      <c r="H74" s="991" t="n"/>
    </row>
    <row r="75" ht="15" customHeight="1" thickBot="1">
      <c r="A75" s="1079" t="inlineStr">
        <is>
          <t xml:space="preserve">         Closing Balance</t>
        </is>
      </c>
      <c r="B75" s="1080">
        <f>SUM(B73:B74)</f>
        <v/>
      </c>
      <c r="C75" s="1080">
        <f>SUM(C73:C74)</f>
        <v/>
      </c>
      <c r="D75" s="1081">
        <f>SUM(D73:D74)</f>
        <v/>
      </c>
      <c r="E75" s="1033" t="n"/>
      <c r="F75" s="991" t="n"/>
      <c r="G75" s="991" t="n"/>
      <c r="H75" s="991" t="n"/>
    </row>
    <row r="76" ht="15" customHeight="1" thickBot="1"/>
    <row r="77" ht="15" customHeight="1" thickBot="1">
      <c r="A77" s="1082" t="inlineStr">
        <is>
          <t xml:space="preserve">                GST Payable for the month of AUG-26</t>
        </is>
      </c>
      <c r="B77" s="972" t="n"/>
      <c r="C77" s="972" t="n"/>
      <c r="D77" s="973" t="n"/>
      <c r="E77" s="1016" t="n"/>
      <c r="F77" s="1016" t="n"/>
      <c r="G77" s="1016" t="n"/>
    </row>
    <row r="78" ht="15" customHeight="1" thickBot="1">
      <c r="C78" s="442" t="n"/>
      <c r="D78" s="442" t="n"/>
      <c r="E78" s="1083" t="n"/>
    </row>
    <row r="79" ht="16.5" customHeight="1" thickBot="1">
      <c r="A79" s="1035" t="inlineStr">
        <is>
          <t>PARTICULARS</t>
        </is>
      </c>
      <c r="B79" s="1057" t="inlineStr">
        <is>
          <t>CGST</t>
        </is>
      </c>
      <c r="C79" s="1057" t="inlineStr">
        <is>
          <t>SGST</t>
        </is>
      </c>
      <c r="D79" s="1057" t="inlineStr">
        <is>
          <t>TOTAL</t>
        </is>
      </c>
      <c r="E79" s="433" t="n"/>
    </row>
    <row r="80">
      <c r="A80" s="434" t="n"/>
      <c r="B80" s="1069" t="n"/>
      <c r="C80" s="1069" t="n"/>
      <c r="D80" s="1069" t="n"/>
      <c r="E80" s="991" t="n"/>
    </row>
    <row r="81">
      <c r="A81" s="435">
        <f>+A8</f>
        <v/>
      </c>
      <c r="B81" s="1069">
        <f>+F29</f>
        <v/>
      </c>
      <c r="C81" s="1069">
        <f>+G29</f>
        <v/>
      </c>
      <c r="D81" s="1069">
        <f>SUM(B81:C81)</f>
        <v/>
      </c>
      <c r="E81" s="1033" t="n"/>
    </row>
    <row r="82">
      <c r="A82" s="434" t="inlineStr">
        <is>
          <t>LESS.: CENVAT IGST CREDIT UTILIZED</t>
        </is>
      </c>
      <c r="B82" s="1069">
        <f>-D101/2</f>
        <v/>
      </c>
      <c r="C82" s="1069">
        <f>+B82</f>
        <v/>
      </c>
      <c r="D82" s="1069">
        <f>SUM(B82:C82)</f>
        <v/>
      </c>
      <c r="E82" s="1033" t="n"/>
    </row>
    <row r="83" ht="15" customHeight="1" thickBot="1">
      <c r="A83" s="434" t="inlineStr">
        <is>
          <t>LESS.: CENVAT CREDIT UTILIZED</t>
        </is>
      </c>
      <c r="B83" s="1084" t="n"/>
      <c r="C83" s="1084" t="n"/>
      <c r="D83" s="1069">
        <f>SUM(B83:C83)</f>
        <v/>
      </c>
      <c r="J83" s="1007" t="n"/>
    </row>
    <row r="84">
      <c r="A84" s="434" t="inlineStr">
        <is>
          <t>TOTAL PAYABLE FOR RESIDENTIAL INCLUDING IGST</t>
        </is>
      </c>
      <c r="B84" s="1069">
        <f>SUM(B81:B83)</f>
        <v/>
      </c>
      <c r="C84" s="1069">
        <f>SUM(C81:C83)</f>
        <v/>
      </c>
      <c r="D84" s="1069">
        <f>SUM(D81:D83)</f>
        <v/>
      </c>
      <c r="E84" s="1033" t="n"/>
      <c r="J84" s="1007" t="n"/>
    </row>
    <row r="85">
      <c r="A85" s="434" t="n"/>
      <c r="B85" s="1069" t="n"/>
      <c r="C85" s="1069" t="n"/>
      <c r="D85" s="1069" t="n"/>
      <c r="E85" s="1033" t="n"/>
      <c r="J85" s="1007" t="n"/>
    </row>
    <row r="86">
      <c r="A86" s="434" t="inlineStr">
        <is>
          <t>GST Paid on RENT Income</t>
        </is>
      </c>
      <c r="B86" s="1069">
        <f>+F38</f>
        <v/>
      </c>
      <c r="C86" s="1069">
        <f>+G38</f>
        <v/>
      </c>
      <c r="D86" s="1069">
        <f>+H38</f>
        <v/>
      </c>
      <c r="E86" s="1033" t="n"/>
    </row>
    <row r="87">
      <c r="A87" s="434" t="n"/>
      <c r="B87" s="1069" t="n"/>
      <c r="C87" s="1069" t="n"/>
      <c r="D87" s="1069" t="n"/>
      <c r="E87" s="1033" t="n"/>
    </row>
    <row r="88">
      <c r="A88" s="1053" t="inlineStr">
        <is>
          <t>GST UNDER RCM</t>
        </is>
      </c>
      <c r="B88" s="1069" t="n"/>
      <c r="C88" s="1069" t="n"/>
      <c r="D88" s="1069" t="n"/>
      <c r="E88" s="1033" t="n"/>
    </row>
    <row r="89">
      <c r="A89" s="434" t="inlineStr">
        <is>
          <t>SUN GRAVITAS</t>
        </is>
      </c>
      <c r="B89" s="1069">
        <f>SUM(D47:D49)</f>
        <v/>
      </c>
      <c r="C89" s="1069">
        <f>B89</f>
        <v/>
      </c>
      <c r="D89" s="1069">
        <f>+B89+C89</f>
        <v/>
      </c>
      <c r="E89" s="1033" t="n"/>
    </row>
    <row r="90" ht="15" customHeight="1" thickBot="1">
      <c r="A90" s="434" t="inlineStr">
        <is>
          <t>SUN OFFICE</t>
        </is>
      </c>
      <c r="B90" s="1069">
        <f>D53</f>
        <v/>
      </c>
      <c r="C90" s="1069">
        <f>E53</f>
        <v/>
      </c>
      <c r="D90" s="1069">
        <f>+B90+C90</f>
        <v/>
      </c>
      <c r="E90" s="1033" t="n"/>
    </row>
    <row r="91" ht="15" customHeight="1" thickBot="1">
      <c r="A91" s="437" t="inlineStr">
        <is>
          <t xml:space="preserve">            GST Payable</t>
        </is>
      </c>
      <c r="B91" s="1085">
        <f>+B84+B89+B90+B86</f>
        <v/>
      </c>
      <c r="C91" s="1085">
        <f>B91</f>
        <v/>
      </c>
      <c r="D91" s="1085">
        <f>+D84+D89+D90+D86</f>
        <v/>
      </c>
      <c r="E91" s="1086" t="n"/>
      <c r="F91" s="1007" t="n"/>
      <c r="G91" s="1007" t="n"/>
    </row>
    <row r="92" ht="15" customHeight="1" thickBot="1">
      <c r="A92" s="437" t="inlineStr">
        <is>
          <t xml:space="preserve">            GST Late Fees </t>
        </is>
      </c>
      <c r="B92" s="1085" t="n"/>
      <c r="C92" s="1085">
        <f>B92</f>
        <v/>
      </c>
      <c r="D92" s="1085">
        <f>SUM(B92:C92)</f>
        <v/>
      </c>
      <c r="E92" s="1086" t="n"/>
      <c r="F92" s="1007" t="n"/>
      <c r="G92" s="1007" t="n"/>
    </row>
    <row r="93" ht="15.75" customHeight="1" thickBot="1">
      <c r="A93" s="571" t="inlineStr">
        <is>
          <t xml:space="preserve">           Net GST Payable</t>
        </is>
      </c>
      <c r="B93" s="1087">
        <f>+B88+B91+B92</f>
        <v/>
      </c>
      <c r="C93" s="1087">
        <f>B93</f>
        <v/>
      </c>
      <c r="D93" s="1087">
        <f>+D91+D92</f>
        <v/>
      </c>
      <c r="E93" s="1086" t="n"/>
      <c r="F93" s="1007" t="n"/>
      <c r="G93" s="1007" t="n"/>
    </row>
    <row r="94">
      <c r="F94" s="1007" t="n"/>
      <c r="G94" s="1007" t="n"/>
    </row>
    <row r="95">
      <c r="F95" s="1007" t="n"/>
      <c r="G95" s="1007" t="n"/>
    </row>
    <row r="96" ht="15" customHeight="1" thickBot="1">
      <c r="F96" s="1007" t="n"/>
      <c r="G96" s="1007" t="n"/>
    </row>
    <row r="97" ht="21" customHeight="1" thickBot="1">
      <c r="A97" s="1088" t="inlineStr">
        <is>
          <t xml:space="preserve">CREDIT REVERSAL DUE TO BU </t>
        </is>
      </c>
      <c r="B97" s="972" t="n"/>
      <c r="C97" s="972" t="n"/>
      <c r="D97" s="972" t="n"/>
      <c r="E97" s="973" t="n"/>
      <c r="F97" s="523" t="inlineStr">
        <is>
          <t>Particulars</t>
        </is>
      </c>
      <c r="G97" s="523" t="inlineStr">
        <is>
          <t>Ratio</t>
        </is>
      </c>
    </row>
    <row r="98" ht="21" customHeight="1" thickBot="1">
      <c r="A98" s="551" t="inlineStr">
        <is>
          <t>PARTICULARS</t>
        </is>
      </c>
      <c r="B98" s="552" t="inlineStr">
        <is>
          <t>CGST</t>
        </is>
      </c>
      <c r="C98" s="552" t="inlineStr">
        <is>
          <t>SGST</t>
        </is>
      </c>
      <c r="D98" s="552" t="inlineStr">
        <is>
          <t>IGST</t>
        </is>
      </c>
      <c r="E98" s="553" t="inlineStr">
        <is>
          <t>TOTAL</t>
        </is>
      </c>
      <c r="F98" s="331" t="inlineStr">
        <is>
          <t>Sold Units Ratio</t>
        </is>
      </c>
      <c r="G98" s="524" t="n">
        <v>45.75270482168136</v>
      </c>
    </row>
    <row r="99">
      <c r="A99" s="548" t="inlineStr">
        <is>
          <t>Total Input Tax Credit Available for the AUG-26</t>
        </is>
      </c>
      <c r="B99" s="1089">
        <f>SUM(B62:B69)</f>
        <v/>
      </c>
      <c r="C99" s="1089">
        <f>SUM(C62:C69)</f>
        <v/>
      </c>
      <c r="D99" s="1089">
        <f>SUM(D62:D69)</f>
        <v/>
      </c>
      <c r="E99" s="1090">
        <f>SUM(B99:D99)</f>
        <v/>
      </c>
      <c r="F99" s="331" t="inlineStr">
        <is>
          <t>Unsold Units Ratio</t>
        </is>
      </c>
      <c r="G99" s="524" t="n">
        <v>54.24729517831863</v>
      </c>
    </row>
    <row r="100">
      <c r="A100" s="542" t="n"/>
      <c r="B100" s="331" t="n"/>
      <c r="C100" s="331" t="n"/>
      <c r="D100" s="331" t="n"/>
      <c r="E100" s="543" t="n"/>
      <c r="F100" s="541" t="inlineStr">
        <is>
          <t>Total</t>
        </is>
      </c>
      <c r="G100" s="524">
        <f>SUM(G98:G99)</f>
        <v/>
      </c>
    </row>
    <row r="101">
      <c r="A101" s="542" t="inlineStr">
        <is>
          <t>Credit Available for Units Sold Before BU</t>
        </is>
      </c>
      <c r="B101" s="982">
        <f>+B99*$G$98/100</f>
        <v/>
      </c>
      <c r="C101" s="982">
        <f>+C99*$G$98/100</f>
        <v/>
      </c>
      <c r="D101" s="982">
        <f>+D99*$G$98/100</f>
        <v/>
      </c>
      <c r="E101" s="1091">
        <f>SUM(B101:D101)</f>
        <v/>
      </c>
    </row>
    <row r="102">
      <c r="A102" s="542" t="inlineStr">
        <is>
          <t>Credit Not Available for Units Sold after  BU ( Rule 42 &amp; 43 Credit Reversal )</t>
        </is>
      </c>
      <c r="B102" s="982">
        <f>+B99*$G$99/100</f>
        <v/>
      </c>
      <c r="C102" s="982">
        <f>+C99*$G$99/100</f>
        <v/>
      </c>
      <c r="D102" s="982">
        <f>+D99*$G$99/100</f>
        <v/>
      </c>
      <c r="E102" s="1092">
        <f>+E99*$G$99/100</f>
        <v/>
      </c>
    </row>
    <row r="103" ht="15" customHeight="1" thickBot="1">
      <c r="A103" s="545" t="inlineStr">
        <is>
          <t>Total Input Tax Credit for the AUG-26</t>
        </is>
      </c>
      <c r="B103" s="1093">
        <f>SUM(B101:B102)</f>
        <v/>
      </c>
      <c r="C103" s="1093">
        <f>SUM(C101:C102)</f>
        <v/>
      </c>
      <c r="D103" s="1093">
        <f>SUM(D101:D102)</f>
        <v/>
      </c>
      <c r="E103" s="1094">
        <f>SUM(E101:E102)</f>
        <v/>
      </c>
    </row>
    <row r="104">
      <c r="B104" s="1007" t="n"/>
    </row>
    <row r="119">
      <c r="A119" s="525">
        <f>+'SUN REALTY-MEM COLL'!C57</f>
        <v/>
      </c>
    </row>
    <row r="122" ht="14.25" customHeight="1"/>
  </sheetData>
  <mergeCells count="18">
    <mergeCell ref="A41:F41"/>
    <mergeCell ref="A4:H4"/>
    <mergeCell ref="D33:D34"/>
    <mergeCell ref="B38:C38"/>
    <mergeCell ref="A42:F42"/>
    <mergeCell ref="G33:G34"/>
    <mergeCell ref="A77:D77"/>
    <mergeCell ref="B33:C34"/>
    <mergeCell ref="H33:H34"/>
    <mergeCell ref="B37:C37"/>
    <mergeCell ref="A33:A34"/>
    <mergeCell ref="E33:E34"/>
    <mergeCell ref="F33:F34"/>
    <mergeCell ref="B36:C36"/>
    <mergeCell ref="A57:D57"/>
    <mergeCell ref="A97:E97"/>
    <mergeCell ref="B35:C35"/>
    <mergeCell ref="A1:H3"/>
  </mergeCells>
  <hyperlinks>
    <hyperlink xmlns:r="http://schemas.openxmlformats.org/officeDocument/2006/relationships" ref="G6" r:id="rId1"/>
    <hyperlink xmlns:r="http://schemas.openxmlformats.org/officeDocument/2006/relationships" ref="E43" r:id="rId2"/>
  </hyperlinks>
  <pageMargins left="0.7" right="0.7" top="0.75" bottom="0.75" header="0.3" footer="0.3"/>
  <pageSetup orientation="landscape" paperSize="9" scale="33" verticalDpi="1200"/>
  <rowBreaks count="1" manualBreakCount="1">
    <brk id="95" min="0" max="7" man="1"/>
  </rowBreaks>
  <drawing xmlns:r="http://schemas.openxmlformats.org/officeDocument/2006/relationships" r:id="rId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E121"/>
  <sheetViews>
    <sheetView zoomScale="80" zoomScaleNormal="80" zoomScaleSheetLayoutView="85" workbookViewId="0">
      <pane xSplit="3" ySplit="7" topLeftCell="D16" activePane="bottomRight" state="frozen"/>
      <selection activeCell="A77" sqref="A77:E77"/>
      <selection pane="topRight" activeCell="A77" sqref="A77:E77"/>
      <selection pane="bottomLeft" activeCell="A77" sqref="A77:E77"/>
      <selection pane="bottomRight" activeCell="A2" sqref="A2"/>
    </sheetView>
  </sheetViews>
  <sheetFormatPr baseColWidth="8" defaultColWidth="9" defaultRowHeight="15"/>
  <cols>
    <col width="25.28515625" customWidth="1" min="2" max="2"/>
    <col width="72.85546875" bestFit="1" customWidth="1" min="3" max="3"/>
    <col width="28.7109375" bestFit="1" customWidth="1" min="4" max="4"/>
    <col width="24.42578125" customWidth="1" min="5" max="5"/>
    <col width="25.28515625" customWidth="1" min="6" max="6"/>
    <col width="27.7109375" customWidth="1" min="7" max="7"/>
    <col width="25.85546875" customWidth="1" min="8" max="8"/>
    <col width="20" customWidth="1" min="9" max="9"/>
    <col width="26.42578125" customWidth="1" min="10" max="11"/>
    <col width="21.85546875" customWidth="1" min="12" max="12"/>
    <col width="27.42578125" customWidth="1" min="13" max="16"/>
    <col width="24" bestFit="1" customWidth="1" min="17" max="17"/>
    <col width="20.5703125" customWidth="1" min="18" max="21"/>
    <col width="27.7109375" customWidth="1" min="22" max="22"/>
    <col width="16.7109375" bestFit="1" customWidth="1" min="23" max="23"/>
    <col width="12.5703125" customWidth="1" min="24" max="24"/>
    <col width="36.5703125" bestFit="1" customWidth="1" min="25" max="25"/>
    <col width="11.5703125" bestFit="1" customWidth="1" min="26" max="26"/>
  </cols>
  <sheetData>
    <row r="1" ht="27.75" customHeight="1">
      <c r="B1" s="893" t="inlineStr">
        <is>
          <t>Sun Realty</t>
        </is>
      </c>
      <c r="C1" s="894" t="n"/>
      <c r="D1" s="894" t="n"/>
      <c r="E1" s="894" t="n"/>
      <c r="F1" s="894" t="n"/>
      <c r="G1" s="894" t="n"/>
      <c r="H1" s="894" t="n"/>
      <c r="I1" s="894" t="n"/>
      <c r="J1" s="894" t="n"/>
      <c r="K1" s="894" t="n"/>
      <c r="L1" s="894" t="n"/>
      <c r="M1" s="894" t="n"/>
      <c r="N1" s="894" t="n"/>
      <c r="O1" s="894" t="n"/>
      <c r="P1" s="894" t="n"/>
      <c r="Q1" s="894" t="n"/>
      <c r="R1" s="894" t="n"/>
      <c r="S1" s="894" t="n"/>
      <c r="T1" s="894" t="n"/>
      <c r="U1" s="894" t="n"/>
      <c r="V1" s="895" t="n"/>
    </row>
    <row r="2" ht="15" customHeight="1">
      <c r="B2" s="896" t="n"/>
      <c r="C2" s="897" t="n"/>
      <c r="D2" s="897" t="n"/>
      <c r="E2" s="897" t="n"/>
      <c r="F2" s="897" t="n"/>
      <c r="G2" s="897" t="n"/>
      <c r="H2" s="897" t="n"/>
      <c r="I2" s="897" t="n"/>
      <c r="J2" s="897" t="n"/>
      <c r="K2" s="897" t="n"/>
      <c r="L2" s="897" t="n"/>
      <c r="M2" s="897" t="n"/>
      <c r="N2" s="897" t="n"/>
      <c r="O2" s="897" t="n"/>
      <c r="P2" s="897" t="n"/>
      <c r="Q2" s="897" t="n"/>
      <c r="R2" s="897" t="n"/>
      <c r="S2" s="897" t="n"/>
      <c r="T2" s="897" t="n"/>
      <c r="U2" s="897" t="n"/>
      <c r="V2" s="898" t="n"/>
    </row>
    <row r="3" ht="15.75" customHeight="1" thickBot="1">
      <c r="B3" s="899" t="n"/>
      <c r="C3" s="900" t="n"/>
      <c r="D3" s="900" t="n"/>
      <c r="E3" s="900" t="n"/>
      <c r="F3" s="900" t="n"/>
      <c r="G3" s="900" t="n"/>
      <c r="H3" s="900" t="n"/>
      <c r="I3" s="900" t="n"/>
      <c r="J3" s="900" t="n"/>
      <c r="K3" s="900" t="n"/>
      <c r="L3" s="900" t="n"/>
      <c r="M3" s="900" t="n"/>
      <c r="N3" s="900" t="n"/>
      <c r="O3" s="900" t="n"/>
      <c r="P3" s="900" t="n"/>
      <c r="Q3" s="900" t="n"/>
      <c r="R3" s="900" t="n"/>
      <c r="S3" s="900" t="n"/>
      <c r="T3" s="900" t="n"/>
      <c r="U3" s="900" t="n"/>
      <c r="V3" s="901" t="n"/>
    </row>
    <row r="4" ht="19.5" customHeight="1" thickBot="1">
      <c r="B4" s="1095" t="inlineStr">
        <is>
          <t>CALCULATION For the month of AUG-26</t>
        </is>
      </c>
      <c r="C4" s="1096" t="n"/>
      <c r="D4" s="1096" t="n"/>
      <c r="E4" s="1096" t="n"/>
      <c r="F4" s="1096" t="n"/>
      <c r="G4" s="1096" t="n"/>
      <c r="H4" s="1096" t="n"/>
      <c r="I4" s="1096" t="n"/>
      <c r="J4" s="1096" t="n"/>
      <c r="K4" s="1096" t="n"/>
      <c r="L4" s="1096" t="n"/>
      <c r="M4" s="1096" t="n"/>
      <c r="N4" s="1096" t="n"/>
      <c r="O4" s="1096" t="n"/>
      <c r="P4" s="1096" t="n"/>
      <c r="Q4" s="1096" t="n"/>
      <c r="R4" s="1096" t="n"/>
      <c r="S4" s="1096" t="n"/>
      <c r="T4" s="1096" t="n"/>
      <c r="U4" s="1096" t="n"/>
      <c r="V4" s="1097" t="n"/>
    </row>
    <row r="5" ht="18.75" customHeight="1">
      <c r="B5" s="975" t="n"/>
      <c r="C5" s="976" t="n"/>
      <c r="D5" s="976" t="n"/>
      <c r="E5" s="976" t="n"/>
      <c r="F5" s="976" t="n"/>
      <c r="G5" s="976" t="n"/>
      <c r="H5" s="976" t="n"/>
      <c r="I5" s="975" t="n"/>
      <c r="J5" s="975" t="n"/>
      <c r="K5" s="975" t="n"/>
      <c r="L5" s="975" t="n"/>
      <c r="M5" s="975" t="n"/>
      <c r="N5" s="975" t="n"/>
      <c r="O5" s="975" t="n"/>
      <c r="P5" s="975" t="n"/>
      <c r="Q5" s="975" t="n"/>
      <c r="R5" s="975" t="n"/>
      <c r="S5" s="975" t="n"/>
      <c r="T5" s="975" t="n"/>
      <c r="U5" s="975" t="n"/>
      <c r="W5" s="1098" t="n"/>
    </row>
    <row r="6" ht="21.75" customHeight="1" thickBot="1">
      <c r="B6" s="1099" t="inlineStr">
        <is>
          <t xml:space="preserve"> MEMBERS COLLECTION</t>
        </is>
      </c>
      <c r="C6" s="1099" t="n"/>
      <c r="D6" s="1099" t="n"/>
      <c r="E6" s="977" t="n"/>
      <c r="F6" s="977" t="n"/>
      <c r="G6" s="977" t="n"/>
      <c r="H6" s="977" t="n"/>
      <c r="I6" s="975" t="n"/>
      <c r="J6" s="975" t="n"/>
      <c r="K6" s="975" t="n"/>
      <c r="L6" s="975" t="n"/>
      <c r="M6" s="975" t="n"/>
      <c r="N6" s="975" t="n"/>
      <c r="O6" s="975" t="n"/>
      <c r="P6" s="975" t="n"/>
      <c r="Q6" s="975" t="n"/>
      <c r="R6" s="975" t="n"/>
      <c r="S6" s="975" t="n"/>
      <c r="T6" s="975" t="n"/>
      <c r="U6" s="975" t="n"/>
      <c r="Y6" s="73" t="n"/>
    </row>
    <row r="7" ht="51.75" customHeight="1" thickBot="1">
      <c r="B7" s="300" t="inlineStr">
        <is>
          <t>Flat No</t>
        </is>
      </c>
      <c r="C7" s="300" t="inlineStr">
        <is>
          <t>Name of Owner</t>
        </is>
      </c>
      <c r="D7" s="301" t="inlineStr">
        <is>
          <t>CR SIDE</t>
        </is>
      </c>
      <c r="E7" s="301" t="inlineStr">
        <is>
          <t>Receipt of Registration Fees/JV (Cr)</t>
        </is>
      </c>
      <c r="F7" s="301" t="inlineStr">
        <is>
          <t>Payment of Reg Fees on Behalf of Client / JV (Dr)</t>
        </is>
      </c>
      <c r="G7" s="301" t="inlineStr">
        <is>
          <t>Receipt of stamp/ registartion duty/JV (Cr)</t>
        </is>
      </c>
      <c r="H7" s="301" t="inlineStr">
        <is>
          <t>Payment of stamp duty on Behalf of Client / JV (Dr)</t>
        </is>
      </c>
      <c r="I7" s="301" t="inlineStr">
        <is>
          <t>REFUND OF SAME PEROID</t>
        </is>
      </c>
      <c r="J7" s="301" t="inlineStr">
        <is>
          <t>REFUNDABLE DEPOSIT</t>
        </is>
      </c>
      <c r="K7" s="301" t="inlineStr">
        <is>
          <t>REFUNDABLE DEPOSIT JV(Dr.)</t>
        </is>
      </c>
      <c r="L7" s="301" t="inlineStr">
        <is>
          <t>REFUND WITHOUT GST</t>
        </is>
      </c>
      <c r="M7" s="301" t="inlineStr">
        <is>
          <t>Cheque Return Amount</t>
        </is>
      </c>
      <c r="N7" s="301" t="inlineStr">
        <is>
          <t>Sale Deed JV</t>
        </is>
      </c>
      <c r="O7" s="301" t="inlineStr">
        <is>
          <t>PLC JV</t>
        </is>
      </c>
      <c r="P7" s="301" t="inlineStr">
        <is>
          <t>PLC Income</t>
        </is>
      </c>
      <c r="Q7" s="301" t="inlineStr">
        <is>
          <t>AEC,AUDA JV</t>
        </is>
      </c>
      <c r="R7" s="301" t="inlineStr">
        <is>
          <t>KASAR</t>
        </is>
      </c>
      <c r="S7" s="301" t="inlineStr">
        <is>
          <t>Loan transfer to new person ( credit side)</t>
        </is>
      </c>
      <c r="T7" s="301" t="inlineStr">
        <is>
          <t>Loan transfer from  old person ( Debit side)</t>
        </is>
      </c>
      <c r="U7" s="301" t="inlineStr">
        <is>
          <t>GST PAID @1% INSTEAD OF 18%</t>
        </is>
      </c>
      <c r="V7" s="301" t="inlineStr">
        <is>
          <t>NET RECEIPT</t>
        </is>
      </c>
      <c r="W7" s="808" t="inlineStr">
        <is>
          <t>GST</t>
        </is>
      </c>
      <c r="X7" s="252" t="n"/>
      <c r="Y7" s="252" t="n"/>
    </row>
    <row r="8" ht="18.75" customHeight="1">
      <c r="B8" s="632" t="n"/>
      <c r="C8" s="351" t="n"/>
      <c r="D8" s="1100" t="n"/>
      <c r="E8" s="140" t="n"/>
      <c r="F8" s="140">
        <f>+E8</f>
        <v/>
      </c>
      <c r="G8" s="140" t="n"/>
      <c r="H8" s="140">
        <f>+G8</f>
        <v/>
      </c>
      <c r="I8" s="140" t="n"/>
      <c r="J8" s="140" t="n"/>
      <c r="K8" s="140" t="n"/>
      <c r="L8" s="140" t="n"/>
      <c r="M8" s="140" t="n"/>
      <c r="N8" s="140" t="n"/>
      <c r="O8" s="140" t="n">
        <v>0</v>
      </c>
      <c r="P8" s="140" t="n">
        <v>0</v>
      </c>
      <c r="Q8" s="140" t="n">
        <v>0</v>
      </c>
      <c r="R8" s="140" t="n"/>
      <c r="S8" s="140" t="n"/>
      <c r="T8" s="140" t="n"/>
      <c r="U8" s="140" t="n"/>
      <c r="V8" s="140">
        <f>D8-E8-G8-J8-U8-R8-P8</f>
        <v/>
      </c>
      <c r="W8" s="1098">
        <f>V8*0.5/100</f>
        <v/>
      </c>
      <c r="X8" s="73" t="n"/>
      <c r="Y8" s="73" t="n"/>
      <c r="Z8" s="73" t="n"/>
    </row>
    <row r="9">
      <c r="A9" s="630" t="n"/>
      <c r="B9" s="632" t="n"/>
      <c r="C9" s="351" t="n"/>
      <c r="D9" s="1101" t="n"/>
      <c r="E9" s="347" t="n"/>
      <c r="F9" s="347">
        <f>E9</f>
        <v/>
      </c>
      <c r="G9" s="347" t="n"/>
      <c r="H9" s="347">
        <f>G9</f>
        <v/>
      </c>
      <c r="I9" s="347" t="n"/>
      <c r="J9" s="347" t="n"/>
      <c r="K9" s="347">
        <f>J9</f>
        <v/>
      </c>
      <c r="L9" s="347" t="n"/>
      <c r="M9" s="347" t="n"/>
      <c r="N9" s="347" t="n"/>
      <c r="O9" s="347" t="n"/>
      <c r="P9" s="347" t="n"/>
      <c r="Q9" s="347" t="n"/>
      <c r="R9" s="347" t="n"/>
      <c r="S9" s="347" t="n"/>
      <c r="T9" s="347" t="n"/>
      <c r="U9" s="347" t="n"/>
      <c r="V9" s="347">
        <f>D9-E9-G9-J9-U9-R9-P9</f>
        <v/>
      </c>
      <c r="W9" s="1102">
        <f>V9*0.5/100</f>
        <v/>
      </c>
      <c r="X9" s="73" t="n"/>
      <c r="Y9" s="73" t="n"/>
      <c r="Z9" s="73" t="n"/>
    </row>
    <row r="10">
      <c r="B10" s="372" t="n"/>
      <c r="C10" s="351" t="n"/>
      <c r="D10" s="1101" t="n"/>
      <c r="E10" s="347" t="n"/>
      <c r="F10" s="347">
        <f>E10</f>
        <v/>
      </c>
      <c r="G10" s="347" t="n"/>
      <c r="H10" s="347">
        <f>G10</f>
        <v/>
      </c>
      <c r="I10" s="347" t="n"/>
      <c r="J10" s="347" t="n"/>
      <c r="K10" s="347">
        <f>J10</f>
        <v/>
      </c>
      <c r="L10" s="347" t="n"/>
      <c r="M10" s="347" t="n"/>
      <c r="N10" s="347" t="n"/>
      <c r="O10" s="347" t="n"/>
      <c r="P10" s="347" t="n"/>
      <c r="Q10" s="347" t="n"/>
      <c r="R10" s="347" t="n"/>
      <c r="S10" s="347" t="n"/>
      <c r="T10" s="347" t="n"/>
      <c r="U10" s="347" t="n"/>
      <c r="V10" s="347">
        <f>D10-E10-G10-J10-U10-R10-P10</f>
        <v/>
      </c>
      <c r="W10" s="1102">
        <f>V10*0.5/100</f>
        <v/>
      </c>
      <c r="X10" s="73" t="n"/>
      <c r="Y10" s="73" t="n"/>
      <c r="Z10" s="73" t="n"/>
    </row>
    <row r="11">
      <c r="B11" s="372" t="n"/>
      <c r="C11" s="351" t="n"/>
      <c r="D11" s="1101" t="n"/>
      <c r="E11" s="347" t="n"/>
      <c r="F11" s="347">
        <f>E11</f>
        <v/>
      </c>
      <c r="G11" s="347" t="n"/>
      <c r="H11" s="347">
        <f>G11</f>
        <v/>
      </c>
      <c r="I11" s="347" t="n"/>
      <c r="J11" s="347" t="n"/>
      <c r="K11" s="347">
        <f>J11</f>
        <v/>
      </c>
      <c r="L11" s="347" t="n"/>
      <c r="M11" s="347" t="n"/>
      <c r="N11" s="347" t="n"/>
      <c r="O11" s="347" t="n"/>
      <c r="P11" s="347" t="n"/>
      <c r="Q11" s="347" t="n"/>
      <c r="R11" s="347" t="n"/>
      <c r="S11" s="347" t="n"/>
      <c r="T11" s="347" t="n"/>
      <c r="U11" s="347" t="n"/>
      <c r="V11" s="347">
        <f>D11-E11-G11-J11-U11-R11-P11</f>
        <v/>
      </c>
      <c r="W11" s="1102">
        <f>V11*0.5/100</f>
        <v/>
      </c>
      <c r="X11" s="73" t="n"/>
      <c r="Y11" s="73" t="n"/>
      <c r="Z11" s="73" t="n"/>
    </row>
    <row r="12">
      <c r="B12" s="372" t="n"/>
      <c r="C12" s="351" t="n"/>
      <c r="D12" s="1103" t="n"/>
      <c r="E12" s="347" t="n"/>
      <c r="F12" s="347">
        <f>E12</f>
        <v/>
      </c>
      <c r="G12" s="347" t="n"/>
      <c r="H12" s="347">
        <f>G12</f>
        <v/>
      </c>
      <c r="I12" s="347" t="n"/>
      <c r="J12" s="347" t="n"/>
      <c r="K12" s="347">
        <f>J12</f>
        <v/>
      </c>
      <c r="L12" s="347" t="n"/>
      <c r="M12" s="347" t="n"/>
      <c r="N12" s="347" t="n"/>
      <c r="O12" s="347" t="n"/>
      <c r="P12" s="347" t="n"/>
      <c r="Q12" s="347" t="n"/>
      <c r="R12" s="347" t="n"/>
      <c r="S12" s="347" t="n"/>
      <c r="T12" s="347" t="n"/>
      <c r="U12" s="347" t="n"/>
      <c r="V12" s="347">
        <f>D12-E12-G12-J12-U12-R12-P12</f>
        <v/>
      </c>
      <c r="W12" s="1102">
        <f>V12*0.5/100</f>
        <v/>
      </c>
      <c r="X12" s="73" t="n"/>
      <c r="Y12" s="73" t="n"/>
      <c r="Z12" s="73" t="n"/>
    </row>
    <row r="13">
      <c r="B13" s="372" t="n"/>
      <c r="C13" s="351" t="n"/>
      <c r="D13" s="1101" t="n"/>
      <c r="E13" s="347" t="n"/>
      <c r="F13" s="347">
        <f>E13</f>
        <v/>
      </c>
      <c r="G13" s="347" t="n"/>
      <c r="H13" s="347">
        <f>G13</f>
        <v/>
      </c>
      <c r="I13" s="347" t="n"/>
      <c r="J13" s="347" t="n"/>
      <c r="K13" s="347">
        <f>J13</f>
        <v/>
      </c>
      <c r="L13" s="347" t="n"/>
      <c r="M13" s="347" t="n"/>
      <c r="N13" s="347" t="n"/>
      <c r="O13" s="347" t="n"/>
      <c r="P13" s="347" t="n"/>
      <c r="Q13" s="347" t="n"/>
      <c r="R13" s="347" t="n"/>
      <c r="S13" s="347" t="n"/>
      <c r="T13" s="347" t="n"/>
      <c r="U13" s="347" t="n"/>
      <c r="V13" s="347">
        <f>D13-E13-G13-J13-U13-R13-P13</f>
        <v/>
      </c>
      <c r="W13" s="1102">
        <f>V13*0.5/100</f>
        <v/>
      </c>
      <c r="X13" s="73" t="n"/>
      <c r="Y13" s="73" t="n"/>
      <c r="Z13" s="73" t="n"/>
    </row>
    <row r="14">
      <c r="B14" s="371" t="n"/>
      <c r="C14" s="351" t="n"/>
      <c r="D14" s="1103" t="n"/>
      <c r="E14" s="347" t="n"/>
      <c r="F14" s="347">
        <f>E14</f>
        <v/>
      </c>
      <c r="G14" s="347" t="n"/>
      <c r="H14" s="347">
        <f>G14</f>
        <v/>
      </c>
      <c r="I14" s="347" t="n"/>
      <c r="J14" s="347" t="n"/>
      <c r="K14" s="347">
        <f>J14</f>
        <v/>
      </c>
      <c r="L14" s="347" t="n"/>
      <c r="M14" s="347" t="n"/>
      <c r="N14" s="347" t="n"/>
      <c r="O14" s="347" t="n"/>
      <c r="P14" s="347" t="n"/>
      <c r="Q14" s="347" t="n"/>
      <c r="R14" s="347" t="n"/>
      <c r="S14" s="347" t="n"/>
      <c r="T14" s="347" t="n"/>
      <c r="U14" s="347" t="n"/>
      <c r="V14" s="347">
        <f>D14-E14-G14-J14-U14-R14-P14</f>
        <v/>
      </c>
      <c r="W14" s="1102">
        <f>V14*0.5/100</f>
        <v/>
      </c>
      <c r="X14" s="73" t="n"/>
      <c r="Y14" s="73" t="n"/>
      <c r="Z14" s="73" t="n"/>
    </row>
    <row r="15">
      <c r="B15" s="371" t="n"/>
      <c r="C15" s="351" t="n"/>
      <c r="D15" s="1101" t="n"/>
      <c r="E15" s="347" t="n"/>
      <c r="F15" s="347">
        <f>E15</f>
        <v/>
      </c>
      <c r="G15" s="347" t="n"/>
      <c r="H15" s="347">
        <f>G15</f>
        <v/>
      </c>
      <c r="I15" s="347" t="n"/>
      <c r="J15" s="347" t="n"/>
      <c r="K15" s="347">
        <f>J15</f>
        <v/>
      </c>
      <c r="L15" s="347" t="n"/>
      <c r="M15" s="347" t="n"/>
      <c r="N15" s="347" t="n"/>
      <c r="O15" s="347" t="n"/>
      <c r="P15" s="347" t="n"/>
      <c r="Q15" s="347" t="n"/>
      <c r="R15" s="347" t="n"/>
      <c r="S15" s="347" t="n"/>
      <c r="T15" s="347" t="n"/>
      <c r="U15" s="347" t="n"/>
      <c r="V15" s="347">
        <f>D15-E15-G15-J15-U15-R15-P15</f>
        <v/>
      </c>
      <c r="W15" s="1102">
        <f>V15*0.5/100</f>
        <v/>
      </c>
      <c r="X15" s="73" t="n"/>
      <c r="Y15" s="73" t="n"/>
      <c r="Z15" s="73" t="n"/>
    </row>
    <row r="16">
      <c r="B16" s="371" t="n"/>
      <c r="C16" s="351" t="n"/>
      <c r="D16" s="1101" t="n"/>
      <c r="E16" s="347" t="n"/>
      <c r="F16" s="347">
        <f>+E16</f>
        <v/>
      </c>
      <c r="G16" s="347" t="n"/>
      <c r="H16" s="347">
        <f>G16</f>
        <v/>
      </c>
      <c r="I16" s="347" t="n"/>
      <c r="J16" s="347" t="n"/>
      <c r="K16" s="347">
        <f>J16</f>
        <v/>
      </c>
      <c r="L16" s="347" t="n"/>
      <c r="M16" s="347" t="n"/>
      <c r="N16" s="347" t="n"/>
      <c r="O16" s="347" t="n"/>
      <c r="P16" s="347" t="n"/>
      <c r="Q16" s="347" t="n"/>
      <c r="R16" s="347" t="n"/>
      <c r="S16" s="347" t="n"/>
      <c r="T16" s="347" t="n"/>
      <c r="U16" s="347" t="n"/>
      <c r="V16" s="347">
        <f>D16-E16-G16-J16-U16-R16-P16</f>
        <v/>
      </c>
      <c r="W16" s="1102">
        <f>V16*0.5/100</f>
        <v/>
      </c>
      <c r="X16" s="73" t="n"/>
      <c r="Y16" s="73" t="n"/>
      <c r="Z16" s="73" t="n"/>
    </row>
    <row r="17">
      <c r="B17" s="371" t="n"/>
      <c r="C17" s="351" t="n"/>
      <c r="D17" s="1101" t="n"/>
      <c r="E17" s="347" t="n"/>
      <c r="F17" s="347">
        <f>+E17</f>
        <v/>
      </c>
      <c r="G17" s="347" t="n"/>
      <c r="H17" s="347">
        <f>G17</f>
        <v/>
      </c>
      <c r="I17" s="347" t="n"/>
      <c r="J17" s="347" t="n"/>
      <c r="K17" s="347">
        <f>J17</f>
        <v/>
      </c>
      <c r="L17" s="347" t="n"/>
      <c r="M17" s="347" t="n"/>
      <c r="N17" s="347" t="n"/>
      <c r="O17" s="347" t="n"/>
      <c r="P17" s="347" t="n"/>
      <c r="Q17" s="347" t="n"/>
      <c r="R17" s="347" t="n"/>
      <c r="S17" s="347" t="n"/>
      <c r="T17" s="347" t="n"/>
      <c r="U17" s="347" t="n"/>
      <c r="V17" s="347">
        <f>D17-E17-G17-J17-U17-R17-P17</f>
        <v/>
      </c>
      <c r="W17" s="1102">
        <f>V17*0.5/100</f>
        <v/>
      </c>
      <c r="X17" s="73" t="n"/>
      <c r="Y17" s="73" t="n"/>
      <c r="Z17" s="73" t="n"/>
    </row>
    <row r="18">
      <c r="B18" s="371" t="n"/>
      <c r="C18" s="351" t="n"/>
      <c r="D18" s="1101" t="n"/>
      <c r="E18" s="347" t="n"/>
      <c r="F18" s="347">
        <f>E18</f>
        <v/>
      </c>
      <c r="G18" s="347" t="n"/>
      <c r="H18" s="347" t="n">
        <v>0</v>
      </c>
      <c r="I18" s="347" t="n"/>
      <c r="J18" s="347" t="n"/>
      <c r="K18" s="347">
        <f>J18</f>
        <v/>
      </c>
      <c r="L18" s="347" t="n"/>
      <c r="M18" s="347" t="n"/>
      <c r="N18" s="347" t="n"/>
      <c r="O18" s="347" t="n"/>
      <c r="P18" s="347" t="n"/>
      <c r="Q18" s="347" t="n"/>
      <c r="R18" s="347" t="n"/>
      <c r="S18" s="347" t="n"/>
      <c r="T18" s="347" t="n"/>
      <c r="U18" s="347" t="n"/>
      <c r="V18" s="347">
        <f>D18-E18-G18-J18-U18-R18-P18</f>
        <v/>
      </c>
      <c r="W18" s="1102">
        <f>V18*0.5/100</f>
        <v/>
      </c>
      <c r="X18" s="73" t="n"/>
      <c r="Y18" s="73" t="n"/>
      <c r="Z18" s="73" t="n"/>
    </row>
    <row r="19">
      <c r="B19" s="371" t="n"/>
      <c r="C19" s="351" t="n"/>
      <c r="D19" s="1101" t="n"/>
      <c r="E19" s="347" t="n"/>
      <c r="F19" s="347">
        <f>E19</f>
        <v/>
      </c>
      <c r="G19" s="347" t="n"/>
      <c r="H19" s="347">
        <f>G19</f>
        <v/>
      </c>
      <c r="I19" s="347" t="n"/>
      <c r="J19" s="347" t="n"/>
      <c r="K19" s="347">
        <f>J19</f>
        <v/>
      </c>
      <c r="L19" s="347" t="n"/>
      <c r="M19" s="347" t="n"/>
      <c r="N19" s="347" t="n"/>
      <c r="O19" s="347" t="n"/>
      <c r="P19" s="347" t="n"/>
      <c r="Q19" s="347" t="n"/>
      <c r="R19" s="347" t="n"/>
      <c r="S19" s="347" t="n"/>
      <c r="T19" s="347" t="n"/>
      <c r="U19" s="347" t="n"/>
      <c r="V19" s="347">
        <f>D19-E19-G19-J19-U19-R19-P19</f>
        <v/>
      </c>
      <c r="W19" s="1102">
        <f>V19*0.5/100</f>
        <v/>
      </c>
      <c r="X19" s="73" t="n"/>
      <c r="Y19" s="73" t="n"/>
      <c r="Z19" s="73" t="n"/>
    </row>
    <row r="20">
      <c r="B20" s="371" t="n"/>
      <c r="C20" s="351" t="n"/>
      <c r="D20" s="1101" t="n"/>
      <c r="E20" s="347" t="n"/>
      <c r="F20" s="347">
        <f>E20</f>
        <v/>
      </c>
      <c r="G20" s="347" t="n"/>
      <c r="H20" s="347">
        <f>G20</f>
        <v/>
      </c>
      <c r="I20" s="347" t="n"/>
      <c r="J20" s="347" t="n"/>
      <c r="K20" s="347">
        <f>J20</f>
        <v/>
      </c>
      <c r="L20" s="347" t="n"/>
      <c r="M20" s="347" t="n"/>
      <c r="N20" s="347" t="n"/>
      <c r="O20" s="347" t="n"/>
      <c r="P20" s="347" t="n"/>
      <c r="Q20" s="347" t="n"/>
      <c r="R20" s="347" t="n"/>
      <c r="S20" s="347" t="n"/>
      <c r="T20" s="347" t="n"/>
      <c r="U20" s="347" t="n"/>
      <c r="V20" s="347">
        <f>D20-E20-G20-J20-U20-R20-P20</f>
        <v/>
      </c>
      <c r="W20" s="1102">
        <f>V20*0.5/100</f>
        <v/>
      </c>
      <c r="X20" s="73" t="n"/>
      <c r="Y20" s="73" t="n"/>
      <c r="Z20" s="73" t="n"/>
      <c r="AA20">
        <f>2553+26+163</f>
        <v/>
      </c>
    </row>
    <row r="21">
      <c r="B21" s="371" t="n"/>
      <c r="C21" s="351" t="n"/>
      <c r="D21" s="1101" t="n"/>
      <c r="E21" s="347" t="n"/>
      <c r="F21" s="347">
        <f>E21</f>
        <v/>
      </c>
      <c r="G21" s="347" t="n"/>
      <c r="H21" s="347">
        <f>G21</f>
        <v/>
      </c>
      <c r="I21" s="347" t="n"/>
      <c r="J21" s="347" t="n"/>
      <c r="K21" s="347">
        <f>J21</f>
        <v/>
      </c>
      <c r="L21" s="347" t="n"/>
      <c r="M21" s="347" t="n"/>
      <c r="N21" s="347" t="n"/>
      <c r="O21" s="347" t="n"/>
      <c r="P21" s="347" t="n"/>
      <c r="Q21" s="347" t="n"/>
      <c r="R21" s="347" t="n"/>
      <c r="S21" s="347" t="n"/>
      <c r="T21" s="347" t="n"/>
      <c r="U21" s="347" t="n"/>
      <c r="V21" s="347">
        <f>D21-E21-G21-J21-U21-R21-P21</f>
        <v/>
      </c>
      <c r="W21" s="1102">
        <f>V21*0.5/100</f>
        <v/>
      </c>
      <c r="X21" s="73" t="n"/>
      <c r="Y21" s="73" t="n"/>
      <c r="Z21" s="73" t="n"/>
    </row>
    <row r="22">
      <c r="B22" s="371" t="n"/>
      <c r="C22" s="351" t="n"/>
      <c r="D22" s="1101" t="n"/>
      <c r="E22" s="347" t="n"/>
      <c r="F22" s="347">
        <f>E22</f>
        <v/>
      </c>
      <c r="G22" s="347" t="n"/>
      <c r="H22" s="347">
        <f>G22</f>
        <v/>
      </c>
      <c r="I22" s="347" t="n"/>
      <c r="J22" s="347" t="n"/>
      <c r="K22" s="347">
        <f>J22</f>
        <v/>
      </c>
      <c r="L22" s="347" t="n"/>
      <c r="M22" s="347" t="n"/>
      <c r="N22" s="347" t="n"/>
      <c r="O22" s="347" t="n"/>
      <c r="P22" s="347" t="n"/>
      <c r="Q22" s="347" t="n"/>
      <c r="R22" s="347" t="n"/>
      <c r="S22" s="347" t="n"/>
      <c r="T22" s="347" t="n"/>
      <c r="U22" s="347" t="n"/>
      <c r="V22" s="347">
        <f>D22-E22-G22-J22-U22-R22-P22</f>
        <v/>
      </c>
      <c r="W22" s="1102">
        <f>V22*0.5/100</f>
        <v/>
      </c>
      <c r="X22" s="73" t="n"/>
      <c r="Y22" s="73" t="n"/>
      <c r="Z22" s="73" t="n"/>
    </row>
    <row r="23">
      <c r="B23" s="371" t="n"/>
      <c r="C23" s="351" t="n"/>
      <c r="D23" s="1101" t="n"/>
      <c r="E23" s="347" t="n"/>
      <c r="F23" s="347">
        <f>E23</f>
        <v/>
      </c>
      <c r="G23" s="347" t="n"/>
      <c r="H23" s="347">
        <f>G23</f>
        <v/>
      </c>
      <c r="I23" s="347" t="n"/>
      <c r="J23" s="347" t="n"/>
      <c r="K23" s="347">
        <f>J23</f>
        <v/>
      </c>
      <c r="L23" s="347" t="n"/>
      <c r="M23" s="347" t="n"/>
      <c r="N23" s="347" t="n"/>
      <c r="O23" s="347" t="n"/>
      <c r="P23" s="347" t="n"/>
      <c r="Q23" s="347" t="n"/>
      <c r="R23" s="347" t="n"/>
      <c r="S23" s="347" t="n"/>
      <c r="T23" s="347" t="n"/>
      <c r="U23" s="347" t="n"/>
      <c r="V23" s="347">
        <f>D23-E23-G23-J23-U23-R23-P23</f>
        <v/>
      </c>
      <c r="W23" s="1102">
        <f>V23*0.5/100</f>
        <v/>
      </c>
      <c r="X23" s="73" t="n"/>
      <c r="Y23" s="73" t="n"/>
      <c r="Z23" s="73" t="n"/>
    </row>
    <row r="24">
      <c r="B24" s="371" t="n"/>
      <c r="C24" s="351" t="n"/>
      <c r="D24" s="1103" t="n"/>
      <c r="E24" s="347" t="n"/>
      <c r="F24" s="347">
        <f>E24</f>
        <v/>
      </c>
      <c r="G24" s="347" t="n"/>
      <c r="H24" s="347">
        <f>G24</f>
        <v/>
      </c>
      <c r="I24" s="347" t="n"/>
      <c r="J24" s="347" t="n"/>
      <c r="K24" s="347">
        <f>J24</f>
        <v/>
      </c>
      <c r="L24" s="347" t="n"/>
      <c r="M24" s="347" t="n"/>
      <c r="N24" s="347" t="n"/>
      <c r="O24" s="347" t="n"/>
      <c r="P24" s="347" t="n"/>
      <c r="Q24" s="347" t="n"/>
      <c r="R24" s="347" t="n"/>
      <c r="S24" s="347" t="n"/>
      <c r="T24" s="347" t="n"/>
      <c r="U24" s="347" t="n"/>
      <c r="V24" s="347">
        <f>D24-E24-G24-J24-U24-R24-P24</f>
        <v/>
      </c>
      <c r="W24" s="1102">
        <f>V24*0.5/100</f>
        <v/>
      </c>
      <c r="X24" s="73" t="n"/>
      <c r="Y24" s="73" t="n"/>
      <c r="Z24" s="73" t="n"/>
    </row>
    <row r="25">
      <c r="B25" s="371" t="n"/>
      <c r="C25" s="351" t="n"/>
      <c r="D25" s="1103" t="n"/>
      <c r="E25" s="347" t="n"/>
      <c r="F25" s="347">
        <f>E25</f>
        <v/>
      </c>
      <c r="G25" s="347" t="n"/>
      <c r="H25" s="347">
        <f>G25</f>
        <v/>
      </c>
      <c r="I25" s="347" t="n"/>
      <c r="J25" s="347" t="n"/>
      <c r="K25" s="347" t="n"/>
      <c r="L25" s="347" t="n"/>
      <c r="M25" s="347" t="n"/>
      <c r="N25" s="347" t="n"/>
      <c r="O25" s="347" t="n"/>
      <c r="P25" s="347" t="n"/>
      <c r="Q25" s="347" t="n"/>
      <c r="R25" s="347" t="n"/>
      <c r="S25" s="347" t="n"/>
      <c r="T25" s="347" t="n"/>
      <c r="U25" s="347" t="n"/>
      <c r="V25" s="347">
        <f>D25-E25-G25-J25-U25-R25-P25</f>
        <v/>
      </c>
      <c r="W25" s="1102">
        <f>V25*0.5/100</f>
        <v/>
      </c>
      <c r="X25" s="73" t="n"/>
      <c r="Y25" s="73" t="n"/>
      <c r="Z25" s="73" t="n"/>
    </row>
    <row r="26">
      <c r="B26" s="371" t="n"/>
      <c r="C26" s="351" t="n"/>
      <c r="D26" s="1103" t="n"/>
      <c r="E26" s="347" t="n"/>
      <c r="F26" s="347">
        <f>E26</f>
        <v/>
      </c>
      <c r="G26" s="347" t="n"/>
      <c r="H26" s="347">
        <f>G26</f>
        <v/>
      </c>
      <c r="I26" s="347" t="n"/>
      <c r="J26" s="347" t="n"/>
      <c r="K26" s="347">
        <f>J26</f>
        <v/>
      </c>
      <c r="L26" s="347" t="n"/>
      <c r="M26" s="347" t="n"/>
      <c r="N26" s="347" t="n"/>
      <c r="O26" s="347" t="n"/>
      <c r="P26" s="347" t="n"/>
      <c r="Q26" s="347" t="n"/>
      <c r="R26" s="347" t="n"/>
      <c r="S26" s="347" t="n"/>
      <c r="T26" s="347" t="n"/>
      <c r="U26" s="347" t="n"/>
      <c r="V26" s="347">
        <f>D26-E26-G26-J26-U26-R26-P26</f>
        <v/>
      </c>
      <c r="W26" s="1102">
        <f>V26*0.5/100</f>
        <v/>
      </c>
      <c r="X26" s="73" t="n"/>
      <c r="Y26" s="73" t="n"/>
      <c r="Z26" s="73" t="n"/>
    </row>
    <row r="27">
      <c r="B27" s="371" t="n"/>
      <c r="C27" s="351" t="n"/>
      <c r="D27" s="1101" t="n"/>
      <c r="E27" s="347" t="n"/>
      <c r="F27" s="347">
        <f>E27</f>
        <v/>
      </c>
      <c r="G27" s="347" t="n"/>
      <c r="H27" s="347">
        <f>G27</f>
        <v/>
      </c>
      <c r="I27" s="347" t="n"/>
      <c r="J27" s="347" t="n"/>
      <c r="K27" s="347">
        <f>J27</f>
        <v/>
      </c>
      <c r="L27" s="347" t="n"/>
      <c r="M27" s="347" t="n"/>
      <c r="N27" s="347" t="n"/>
      <c r="O27" s="347" t="n"/>
      <c r="P27" s="347" t="n"/>
      <c r="Q27" s="347" t="n"/>
      <c r="R27" s="347" t="n"/>
      <c r="S27" s="347" t="n"/>
      <c r="T27" s="347" t="n"/>
      <c r="U27" s="347" t="n"/>
      <c r="V27" s="347">
        <f>D27-E27-G27-J27-U27-R27-P27</f>
        <v/>
      </c>
      <c r="W27" s="1102">
        <f>V27*0.5/100</f>
        <v/>
      </c>
      <c r="X27" s="73" t="n"/>
      <c r="Y27" s="73" t="n"/>
      <c r="Z27" s="73" t="n"/>
    </row>
    <row r="28">
      <c r="B28" s="371" t="n"/>
      <c r="C28" s="351" t="n"/>
      <c r="D28" s="1101" t="n"/>
      <c r="E28" s="347" t="n"/>
      <c r="F28" s="347">
        <f>E28</f>
        <v/>
      </c>
      <c r="G28" s="347" t="n"/>
      <c r="H28" s="347">
        <f>G28</f>
        <v/>
      </c>
      <c r="I28" s="347" t="n"/>
      <c r="J28" s="347" t="n"/>
      <c r="K28" s="347">
        <f>J28</f>
        <v/>
      </c>
      <c r="L28" s="347" t="n"/>
      <c r="M28" s="347" t="n"/>
      <c r="N28" s="347" t="n"/>
      <c r="O28" s="347" t="n"/>
      <c r="P28" s="347" t="n"/>
      <c r="Q28" s="347" t="n"/>
      <c r="R28" s="347" t="n"/>
      <c r="S28" s="347" t="n"/>
      <c r="T28" s="347" t="n"/>
      <c r="U28" s="347" t="n"/>
      <c r="V28" s="347">
        <f>D28-E28-G28-J28-U28-R28-P28</f>
        <v/>
      </c>
      <c r="W28" s="1102">
        <f>V28*0.5/100</f>
        <v/>
      </c>
      <c r="X28" s="73" t="n"/>
      <c r="Y28" s="73" t="n"/>
      <c r="Z28" s="73" t="n"/>
    </row>
    <row r="29">
      <c r="B29" s="371" t="n"/>
      <c r="C29" s="351" t="n"/>
      <c r="D29" s="1101" t="n"/>
      <c r="E29" s="347" t="n"/>
      <c r="F29" s="347">
        <f>E29</f>
        <v/>
      </c>
      <c r="G29" s="347" t="n"/>
      <c r="H29" s="347">
        <f>G29</f>
        <v/>
      </c>
      <c r="I29" s="347" t="n"/>
      <c r="J29" s="347" t="n"/>
      <c r="K29" s="347">
        <f>J29</f>
        <v/>
      </c>
      <c r="L29" s="347" t="n"/>
      <c r="M29" s="347" t="n"/>
      <c r="N29" s="347" t="n"/>
      <c r="O29" s="347" t="n"/>
      <c r="P29" s="347" t="n"/>
      <c r="Q29" s="347" t="n"/>
      <c r="R29" s="347" t="n"/>
      <c r="S29" s="347" t="n"/>
      <c r="T29" s="347" t="n"/>
      <c r="U29" s="347" t="n"/>
      <c r="V29" s="347">
        <f>D29-E29-G29-J29-U29-R29-P29</f>
        <v/>
      </c>
      <c r="W29" s="1102">
        <f>V29*0.5/100</f>
        <v/>
      </c>
      <c r="X29" s="73">
        <f>IFERROR(VLOOKUP(C29,DATA!$U$2:$V$32,2,FALSE),0)</f>
        <v/>
      </c>
      <c r="Y29" s="73">
        <f>+X29+G29</f>
        <v/>
      </c>
      <c r="Z29" s="73">
        <f>-Y29</f>
        <v/>
      </c>
    </row>
    <row r="30">
      <c r="B30" s="371" t="n"/>
      <c r="C30" s="351" t="n"/>
      <c r="D30" s="347" t="n"/>
      <c r="E30" s="347" t="n"/>
      <c r="F30" s="347">
        <f>E30</f>
        <v/>
      </c>
      <c r="G30" s="347" t="n"/>
      <c r="H30" s="347">
        <f>G30</f>
        <v/>
      </c>
      <c r="I30" s="347" t="n"/>
      <c r="J30" s="347" t="n"/>
      <c r="K30" s="347">
        <f>J30</f>
        <v/>
      </c>
      <c r="L30" s="347" t="n"/>
      <c r="M30" s="347" t="n"/>
      <c r="N30" s="347" t="n"/>
      <c r="O30" s="347" t="n"/>
      <c r="P30" s="347" t="n"/>
      <c r="Q30" s="347" t="n"/>
      <c r="R30" s="347" t="n"/>
      <c r="S30" s="347" t="n"/>
      <c r="T30" s="347" t="n"/>
      <c r="U30" s="347" t="n"/>
      <c r="V30" s="347">
        <f>D30-E30-G30-J30-U30-R30-P30</f>
        <v/>
      </c>
      <c r="W30" s="1102">
        <f>V30*0.5/100</f>
        <v/>
      </c>
      <c r="X30" s="73">
        <f>IFERROR(VLOOKUP(C30,DATA!$U$2:$V$32,2,FALSE),0)</f>
        <v/>
      </c>
      <c r="Y30" s="73">
        <f>+X30+G30</f>
        <v/>
      </c>
      <c r="Z30" s="73">
        <f>-Y30</f>
        <v/>
      </c>
      <c r="AD30">
        <f>138+821</f>
        <v/>
      </c>
    </row>
    <row r="31">
      <c r="B31" s="371" t="n"/>
      <c r="C31" s="351" t="n"/>
      <c r="D31" s="347" t="n"/>
      <c r="E31" s="347" t="n"/>
      <c r="F31" s="347">
        <f>E31</f>
        <v/>
      </c>
      <c r="G31" s="347" t="n"/>
      <c r="H31" s="347">
        <f>G31</f>
        <v/>
      </c>
      <c r="I31" s="347" t="n"/>
      <c r="J31" s="347" t="n"/>
      <c r="K31" s="347">
        <f>J31</f>
        <v/>
      </c>
      <c r="L31" s="347" t="n"/>
      <c r="M31" s="347" t="n"/>
      <c r="N31" s="347" t="n"/>
      <c r="O31" s="347" t="n"/>
      <c r="P31" s="347" t="n"/>
      <c r="Q31" s="347" t="n"/>
      <c r="R31" s="347" t="n"/>
      <c r="S31" s="347" t="n"/>
      <c r="T31" s="347" t="n"/>
      <c r="U31" s="347" t="n"/>
      <c r="V31" s="347">
        <f>D31-E31-G31-J31-U31-R31-P31</f>
        <v/>
      </c>
      <c r="W31" s="1102">
        <f>V31*0.5/100</f>
        <v/>
      </c>
      <c r="X31" s="73">
        <f>IFERROR(VLOOKUP(C31,DATA!$U$2:$V$32,2,FALSE),0)</f>
        <v/>
      </c>
      <c r="Y31" s="73">
        <f>+X31+G31</f>
        <v/>
      </c>
      <c r="Z31" s="73">
        <f>-Y31</f>
        <v/>
      </c>
    </row>
    <row r="32">
      <c r="B32" s="371" t="n"/>
      <c r="C32" s="351" t="n"/>
      <c r="D32" s="347" t="n"/>
      <c r="E32" s="347" t="n"/>
      <c r="F32" s="347">
        <f>E32</f>
        <v/>
      </c>
      <c r="G32" s="347" t="n"/>
      <c r="H32" s="347">
        <f>G32</f>
        <v/>
      </c>
      <c r="I32" s="347" t="n"/>
      <c r="J32" s="347" t="n"/>
      <c r="K32" s="347">
        <f>J32</f>
        <v/>
      </c>
      <c r="L32" s="347" t="n"/>
      <c r="M32" s="347" t="n"/>
      <c r="N32" s="347" t="n"/>
      <c r="O32" s="347" t="n"/>
      <c r="P32" s="347" t="n"/>
      <c r="Q32" s="347" t="n"/>
      <c r="R32" s="347" t="n"/>
      <c r="S32" s="347" t="n"/>
      <c r="T32" s="347" t="n"/>
      <c r="U32" s="347" t="n"/>
      <c r="V32" s="347">
        <f>D32-E32-G32-J32-U32-R32-P32</f>
        <v/>
      </c>
      <c r="W32" s="1102">
        <f>V32*0.5/100</f>
        <v/>
      </c>
      <c r="X32" s="73">
        <f>IFERROR(VLOOKUP(C32,DATA!$U$2:$V$32,2,FALSE),0)</f>
        <v/>
      </c>
      <c r="Y32" s="73">
        <f>+X32+G32</f>
        <v/>
      </c>
      <c r="Z32" s="73">
        <f>-Y32</f>
        <v/>
      </c>
    </row>
    <row r="33">
      <c r="B33" s="371" t="n"/>
      <c r="C33" s="351" t="n"/>
      <c r="D33" s="347" t="n"/>
      <c r="E33" s="347" t="n"/>
      <c r="F33" s="347">
        <f>E33</f>
        <v/>
      </c>
      <c r="G33" s="347" t="n"/>
      <c r="H33" s="347">
        <f>G33</f>
        <v/>
      </c>
      <c r="I33" s="347" t="n"/>
      <c r="J33" s="347" t="n"/>
      <c r="K33" s="347">
        <f>J33</f>
        <v/>
      </c>
      <c r="L33" s="347" t="n"/>
      <c r="M33" s="347" t="n"/>
      <c r="N33" s="347" t="n"/>
      <c r="O33" s="347" t="n"/>
      <c r="P33" s="347" t="n"/>
      <c r="Q33" s="347" t="n"/>
      <c r="R33" s="347" t="n"/>
      <c r="S33" s="347" t="n"/>
      <c r="T33" s="347" t="n"/>
      <c r="U33" s="347" t="n"/>
      <c r="V33" s="347">
        <f>D33-E33-G33-J33-U33-R33-P33</f>
        <v/>
      </c>
      <c r="W33" s="1102">
        <f>V33*0.5/100</f>
        <v/>
      </c>
      <c r="X33" s="73">
        <f>IFERROR(VLOOKUP(C33,DATA!$U$2:$V$32,2,FALSE),0)</f>
        <v/>
      </c>
      <c r="Y33" s="73">
        <f>+X33+G33</f>
        <v/>
      </c>
      <c r="Z33" s="73">
        <f>-Y33</f>
        <v/>
      </c>
    </row>
    <row r="34">
      <c r="B34" s="371" t="n"/>
      <c r="C34" s="351" t="n"/>
      <c r="D34" s="347" t="n"/>
      <c r="E34" s="347" t="n"/>
      <c r="F34" s="347">
        <f>E34</f>
        <v/>
      </c>
      <c r="G34" s="347" t="n"/>
      <c r="H34" s="347">
        <f>G34</f>
        <v/>
      </c>
      <c r="I34" s="347" t="n"/>
      <c r="J34" s="347" t="n"/>
      <c r="K34" s="347" t="n"/>
      <c r="L34" s="347" t="n"/>
      <c r="M34" s="347" t="n"/>
      <c r="N34" s="347" t="n"/>
      <c r="O34" s="347" t="n"/>
      <c r="P34" s="347" t="n"/>
      <c r="Q34" s="347" t="n"/>
      <c r="R34" s="347" t="n"/>
      <c r="S34" s="347" t="n"/>
      <c r="T34" s="347" t="n"/>
      <c r="U34" s="347" t="n"/>
      <c r="V34" s="347">
        <f>D34-E34-G34-J34-U34-R34-P34</f>
        <v/>
      </c>
      <c r="W34" s="1102">
        <f>V34*0.5/100</f>
        <v/>
      </c>
      <c r="X34" s="73">
        <f>IFERROR(VLOOKUP(C34,DATA!$U$2:$V$32,2,FALSE),0)</f>
        <v/>
      </c>
      <c r="Y34" s="73">
        <f>+X34+G34</f>
        <v/>
      </c>
      <c r="Z34" s="73">
        <f>-Y34</f>
        <v/>
      </c>
    </row>
    <row r="35">
      <c r="B35" s="371" t="n"/>
      <c r="C35" s="351" t="n"/>
      <c r="D35" s="347" t="n"/>
      <c r="E35" s="347" t="n"/>
      <c r="F35" s="347">
        <f>E35</f>
        <v/>
      </c>
      <c r="G35" s="347" t="n"/>
      <c r="H35" s="347">
        <f>G35</f>
        <v/>
      </c>
      <c r="I35" s="347" t="n"/>
      <c r="J35" s="347" t="n"/>
      <c r="K35" s="347">
        <f>J35</f>
        <v/>
      </c>
      <c r="L35" s="347" t="n"/>
      <c r="M35" s="347" t="n"/>
      <c r="N35" s="347" t="n"/>
      <c r="O35" s="347" t="n"/>
      <c r="P35" s="347" t="n"/>
      <c r="Q35" s="347" t="n"/>
      <c r="R35" s="347" t="n"/>
      <c r="S35" s="347" t="n"/>
      <c r="T35" s="347" t="n"/>
      <c r="U35" s="347" t="n"/>
      <c r="V35" s="347">
        <f>D35-E35-G35-J35-U35-R35-P35</f>
        <v/>
      </c>
      <c r="W35" s="1102">
        <f>V35*0.5/100</f>
        <v/>
      </c>
      <c r="X35" s="73">
        <f>IFERROR(VLOOKUP(C35,DATA!$U$2:$V$32,2,FALSE),0)</f>
        <v/>
      </c>
      <c r="Y35" s="73">
        <f>+X35+G35</f>
        <v/>
      </c>
      <c r="Z35" s="73">
        <f>-Y35</f>
        <v/>
      </c>
    </row>
    <row r="36">
      <c r="B36" s="371" t="n"/>
      <c r="C36" s="351" t="n"/>
      <c r="D36" s="347" t="n"/>
      <c r="E36" s="347" t="n"/>
      <c r="F36" s="347">
        <f>E36</f>
        <v/>
      </c>
      <c r="G36" s="347" t="n"/>
      <c r="H36" s="347">
        <f>G36</f>
        <v/>
      </c>
      <c r="I36" s="347" t="n"/>
      <c r="J36" s="347" t="n"/>
      <c r="K36" s="347">
        <f>J36</f>
        <v/>
      </c>
      <c r="L36" s="347" t="n"/>
      <c r="M36" s="347" t="n"/>
      <c r="N36" s="347" t="n"/>
      <c r="O36" s="347" t="n"/>
      <c r="P36" s="347" t="n"/>
      <c r="Q36" s="347" t="n"/>
      <c r="R36" s="347" t="n"/>
      <c r="S36" s="347" t="n"/>
      <c r="T36" s="347" t="n"/>
      <c r="U36" s="347" t="n"/>
      <c r="V36" s="347">
        <f>D36-E36-G36-J36-U36-R36-P36</f>
        <v/>
      </c>
      <c r="W36" s="1102">
        <f>V36*0.5/100</f>
        <v/>
      </c>
      <c r="X36" s="73" t="n"/>
      <c r="Y36" s="73" t="n"/>
      <c r="Z36" s="73" t="n"/>
    </row>
    <row r="37">
      <c r="B37" s="371" t="n"/>
      <c r="C37" s="351" t="n"/>
      <c r="D37" s="347" t="n"/>
      <c r="E37" s="347" t="n"/>
      <c r="F37" s="347">
        <f>E37</f>
        <v/>
      </c>
      <c r="G37" s="347" t="n"/>
      <c r="H37" s="347">
        <f>G37</f>
        <v/>
      </c>
      <c r="I37" s="347" t="n"/>
      <c r="J37" s="347" t="n"/>
      <c r="K37" s="347">
        <f>J37</f>
        <v/>
      </c>
      <c r="L37" s="347" t="n"/>
      <c r="M37" s="347" t="n"/>
      <c r="N37" s="347" t="n"/>
      <c r="O37" s="347" t="n"/>
      <c r="P37" s="347" t="n"/>
      <c r="Q37" s="347" t="n"/>
      <c r="R37" s="347" t="n"/>
      <c r="S37" s="347" t="n"/>
      <c r="T37" s="347" t="n"/>
      <c r="U37" s="347" t="n"/>
      <c r="V37" s="347">
        <f>D37-E37-G37-J37-U37-R37-P37</f>
        <v/>
      </c>
      <c r="W37" s="1102">
        <f>V37*0.5/100</f>
        <v/>
      </c>
      <c r="X37" s="73">
        <f>IFERROR(VLOOKUP(C37,DATA!$U$2:$V$32,2,FALSE),0)</f>
        <v/>
      </c>
      <c r="Y37" s="73">
        <f>+X37+G37</f>
        <v/>
      </c>
      <c r="Z37" s="73">
        <f>-Y37</f>
        <v/>
      </c>
    </row>
    <row r="38">
      <c r="B38" s="371" t="n"/>
      <c r="C38" s="351" t="n"/>
      <c r="D38" s="347" t="n"/>
      <c r="E38" s="347" t="n"/>
      <c r="F38" s="347">
        <f>E38</f>
        <v/>
      </c>
      <c r="G38" s="347" t="n"/>
      <c r="H38" s="347">
        <f>G38</f>
        <v/>
      </c>
      <c r="I38" s="347" t="n"/>
      <c r="J38" s="347" t="n"/>
      <c r="K38" s="347">
        <f>J38</f>
        <v/>
      </c>
      <c r="L38" s="347" t="n"/>
      <c r="M38" s="347" t="n"/>
      <c r="N38" s="347" t="n"/>
      <c r="O38" s="347" t="n"/>
      <c r="P38" s="347" t="n"/>
      <c r="Q38" s="347" t="n"/>
      <c r="R38" s="347" t="n"/>
      <c r="S38" s="347" t="n"/>
      <c r="T38" s="347" t="n"/>
      <c r="U38" s="347" t="n"/>
      <c r="V38" s="347">
        <f>D38-E38-G38-J38-U38-R38-P38</f>
        <v/>
      </c>
      <c r="W38" s="1102">
        <f>V38*0.5/100</f>
        <v/>
      </c>
      <c r="X38" s="73" t="n"/>
      <c r="Y38" s="73" t="n"/>
      <c r="Z38" s="73" t="n"/>
    </row>
    <row r="39">
      <c r="B39" s="371" t="n"/>
      <c r="C39" s="351" t="n"/>
      <c r="D39" s="347" t="n"/>
      <c r="E39" s="347" t="n"/>
      <c r="F39" s="347">
        <f>E39</f>
        <v/>
      </c>
      <c r="G39" s="347" t="n"/>
      <c r="H39" s="347">
        <f>G39</f>
        <v/>
      </c>
      <c r="I39" s="347" t="n"/>
      <c r="J39" s="347" t="n"/>
      <c r="K39" s="347">
        <f>J39</f>
        <v/>
      </c>
      <c r="L39" s="347" t="n"/>
      <c r="M39" s="347" t="n"/>
      <c r="N39" s="347" t="n"/>
      <c r="O39" s="347" t="n"/>
      <c r="P39" s="347" t="n"/>
      <c r="Q39" s="347" t="n"/>
      <c r="R39" s="347" t="n"/>
      <c r="S39" s="347" t="n"/>
      <c r="T39" s="347" t="n"/>
      <c r="U39" s="347" t="n"/>
      <c r="V39" s="347">
        <f>D39-E39-G39-J39-U39-R39-P39</f>
        <v/>
      </c>
      <c r="W39" s="1102">
        <f>V39*0.5/100</f>
        <v/>
      </c>
      <c r="X39" s="73" t="n"/>
      <c r="Y39" s="73" t="n"/>
      <c r="Z39" s="73" t="n"/>
    </row>
    <row r="40">
      <c r="B40" s="371" t="n"/>
      <c r="C40" s="351" t="n"/>
      <c r="D40" s="347" t="n"/>
      <c r="E40" s="347" t="n"/>
      <c r="F40" s="347">
        <f>E40</f>
        <v/>
      </c>
      <c r="G40" s="347" t="n"/>
      <c r="H40" s="347">
        <f>G40</f>
        <v/>
      </c>
      <c r="I40" s="347" t="n"/>
      <c r="J40" s="347" t="n"/>
      <c r="K40" s="347">
        <f>J40</f>
        <v/>
      </c>
      <c r="L40" s="347" t="n"/>
      <c r="M40" s="347" t="n"/>
      <c r="N40" s="347" t="n"/>
      <c r="O40" s="347" t="n"/>
      <c r="P40" s="347" t="n"/>
      <c r="Q40" s="347" t="n"/>
      <c r="R40" s="347" t="n"/>
      <c r="S40" s="347" t="n"/>
      <c r="T40" s="347" t="n"/>
      <c r="U40" s="347" t="n"/>
      <c r="V40" s="347">
        <f>D40-E40-G40-J40-U40-R40-P40</f>
        <v/>
      </c>
      <c r="W40" s="1102">
        <f>V40*0.5/100</f>
        <v/>
      </c>
      <c r="X40" s="73" t="n"/>
      <c r="Y40" s="73" t="n"/>
      <c r="Z40" s="73" t="n"/>
    </row>
    <row r="41">
      <c r="B41" s="371" t="n"/>
      <c r="C41" s="351" t="n"/>
      <c r="D41" s="347" t="n"/>
      <c r="E41" s="347" t="n"/>
      <c r="F41" s="347">
        <f>E41</f>
        <v/>
      </c>
      <c r="G41" s="347" t="n"/>
      <c r="H41" s="347">
        <f>G41</f>
        <v/>
      </c>
      <c r="I41" s="347" t="n"/>
      <c r="J41" s="347" t="n"/>
      <c r="K41" s="347">
        <f>J41</f>
        <v/>
      </c>
      <c r="L41" s="347" t="n"/>
      <c r="M41" s="347" t="n"/>
      <c r="N41" s="347" t="n"/>
      <c r="O41" s="347" t="n"/>
      <c r="P41" s="347" t="n"/>
      <c r="Q41" s="347" t="n"/>
      <c r="R41" s="347" t="n"/>
      <c r="S41" s="347" t="n"/>
      <c r="T41" s="347" t="n"/>
      <c r="U41" s="347" t="n"/>
      <c r="V41" s="347">
        <f>D41-E41-G41-J41-U41-R41-P41</f>
        <v/>
      </c>
      <c r="W41" s="1102">
        <f>V41*0.5/100</f>
        <v/>
      </c>
      <c r="X41" s="73" t="n"/>
      <c r="Y41" s="73" t="n"/>
      <c r="Z41" s="73" t="n"/>
    </row>
    <row r="42">
      <c r="B42" s="371" t="n"/>
      <c r="C42" s="351" t="n"/>
      <c r="D42" s="347" t="n"/>
      <c r="E42" s="347" t="n"/>
      <c r="F42" s="347">
        <f>E42</f>
        <v/>
      </c>
      <c r="G42" s="347" t="n"/>
      <c r="H42" s="347">
        <f>G42</f>
        <v/>
      </c>
      <c r="I42" s="347" t="n"/>
      <c r="J42" s="347" t="n"/>
      <c r="K42" s="347">
        <f>J42</f>
        <v/>
      </c>
      <c r="L42" s="347" t="n"/>
      <c r="M42" s="347" t="n"/>
      <c r="N42" s="347" t="n"/>
      <c r="O42" s="347" t="n"/>
      <c r="P42" s="347" t="n"/>
      <c r="Q42" s="347" t="n"/>
      <c r="R42" s="347" t="n"/>
      <c r="S42" s="347" t="n"/>
      <c r="T42" s="347" t="n"/>
      <c r="U42" s="347" t="n"/>
      <c r="V42" s="347">
        <f>D42-E42-G42-J42-U42-R42-P42</f>
        <v/>
      </c>
      <c r="W42" s="1102">
        <f>V42*0.5/100</f>
        <v/>
      </c>
      <c r="X42" s="73" t="n"/>
      <c r="Y42" s="73" t="n"/>
      <c r="Z42" s="73" t="n"/>
    </row>
    <row r="43">
      <c r="B43" s="371" t="n"/>
      <c r="C43" s="351" t="n"/>
      <c r="D43" s="347" t="n"/>
      <c r="E43" s="347" t="n"/>
      <c r="F43" s="347">
        <f>E43</f>
        <v/>
      </c>
      <c r="G43" s="347" t="n"/>
      <c r="H43" s="347">
        <f>G43</f>
        <v/>
      </c>
      <c r="I43" s="347" t="n"/>
      <c r="J43" s="347" t="n"/>
      <c r="K43" s="347">
        <f>J43</f>
        <v/>
      </c>
      <c r="L43" s="347" t="n"/>
      <c r="M43" s="347" t="n"/>
      <c r="N43" s="347" t="n"/>
      <c r="O43" s="347" t="n"/>
      <c r="P43" s="347" t="n"/>
      <c r="Q43" s="347" t="n"/>
      <c r="R43" s="347" t="n"/>
      <c r="S43" s="347" t="n"/>
      <c r="T43" s="347" t="n"/>
      <c r="U43" s="347" t="n"/>
      <c r="V43" s="347">
        <f>D43-E43-G43-J43-U43-R43-P43</f>
        <v/>
      </c>
      <c r="W43" s="1102">
        <f>V43*0.5/100</f>
        <v/>
      </c>
      <c r="X43" s="73">
        <f>IFERROR(VLOOKUP(C43,DATA!$U$2:$V$32,2,FALSE),0)</f>
        <v/>
      </c>
      <c r="Y43" s="73">
        <f>+X43+G43</f>
        <v/>
      </c>
      <c r="Z43" s="73">
        <f>-Y43</f>
        <v/>
      </c>
    </row>
    <row r="44">
      <c r="B44" s="371" t="n"/>
      <c r="C44" s="351" t="n"/>
      <c r="D44" s="347" t="n"/>
      <c r="E44" s="347" t="n"/>
      <c r="F44" s="347">
        <f>E44</f>
        <v/>
      </c>
      <c r="G44" s="347" t="n"/>
      <c r="H44" s="347">
        <f>G44</f>
        <v/>
      </c>
      <c r="I44" s="347" t="n"/>
      <c r="J44" s="347" t="n"/>
      <c r="K44" s="347">
        <f>J44</f>
        <v/>
      </c>
      <c r="L44" s="347" t="n"/>
      <c r="M44" s="347" t="n"/>
      <c r="N44" s="347" t="n"/>
      <c r="O44" s="347" t="n"/>
      <c r="P44" s="347" t="n"/>
      <c r="Q44" s="347" t="n"/>
      <c r="R44" s="347" t="n"/>
      <c r="S44" s="347" t="n"/>
      <c r="T44" s="347" t="n"/>
      <c r="U44" s="347" t="n"/>
      <c r="V44" s="347">
        <f>D44-E44-G44-J44-U44-R44-P44</f>
        <v/>
      </c>
      <c r="W44" s="1102">
        <f>V44*0.5/100</f>
        <v/>
      </c>
      <c r="X44" s="73">
        <f>IFERROR(VLOOKUP(C44,DATA!$U$2:$V$32,2,FALSE),0)</f>
        <v/>
      </c>
      <c r="Y44" s="73">
        <f>+X44+G44</f>
        <v/>
      </c>
      <c r="Z44" s="73">
        <f>-Y44</f>
        <v/>
      </c>
    </row>
    <row r="45">
      <c r="B45" s="371" t="n"/>
      <c r="C45" s="351" t="n"/>
      <c r="D45" s="347" t="n"/>
      <c r="E45" s="347" t="n"/>
      <c r="F45" s="347">
        <f>E45</f>
        <v/>
      </c>
      <c r="G45" s="347" t="n"/>
      <c r="H45" s="347">
        <f>G45</f>
        <v/>
      </c>
      <c r="I45" s="347" t="n"/>
      <c r="J45" s="347" t="n"/>
      <c r="K45" s="347">
        <f>J45</f>
        <v/>
      </c>
      <c r="L45" s="347" t="n"/>
      <c r="M45" s="347" t="n"/>
      <c r="N45" s="347" t="n"/>
      <c r="O45" s="347" t="n"/>
      <c r="P45" s="347" t="n"/>
      <c r="Q45" s="347" t="n"/>
      <c r="R45" s="347" t="n"/>
      <c r="S45" s="347" t="n"/>
      <c r="T45" s="347" t="n"/>
      <c r="U45" s="347" t="n"/>
      <c r="V45" s="347">
        <f>D45-E45-G45-J45-U45-R45-P45</f>
        <v/>
      </c>
      <c r="W45" s="1102">
        <f>V45*0.5/100</f>
        <v/>
      </c>
      <c r="X45" s="73" t="n"/>
      <c r="Y45" s="73" t="n"/>
      <c r="Z45" s="73" t="n"/>
    </row>
    <row r="46">
      <c r="B46" s="371" t="n"/>
      <c r="C46" s="351" t="n"/>
      <c r="D46" s="347" t="n"/>
      <c r="E46" s="347" t="n"/>
      <c r="F46" s="347">
        <f>E46</f>
        <v/>
      </c>
      <c r="G46" s="347" t="n"/>
      <c r="H46" s="347">
        <f>G46</f>
        <v/>
      </c>
      <c r="I46" s="347" t="n"/>
      <c r="J46" s="347" t="n"/>
      <c r="K46" s="347">
        <f>J46</f>
        <v/>
      </c>
      <c r="L46" s="347" t="n"/>
      <c r="M46" s="347" t="n"/>
      <c r="N46" s="347" t="n"/>
      <c r="O46" s="347" t="n"/>
      <c r="P46" s="347" t="n"/>
      <c r="Q46" s="347" t="n"/>
      <c r="R46" s="347" t="n"/>
      <c r="S46" s="347" t="n"/>
      <c r="T46" s="347" t="n"/>
      <c r="U46" s="347" t="n"/>
      <c r="V46" s="347">
        <f>D46-E46-G46-J46-U46-R46-P46</f>
        <v/>
      </c>
      <c r="W46" s="1102">
        <f>V46*0.5/100</f>
        <v/>
      </c>
      <c r="X46" s="73">
        <f>IFERROR(VLOOKUP(C46,DATA!$U$2:$V$32,2,FALSE),0)</f>
        <v/>
      </c>
      <c r="Y46" s="73">
        <f>+X46+G46</f>
        <v/>
      </c>
      <c r="Z46" s="73" t="n"/>
    </row>
    <row r="47">
      <c r="B47" s="371" t="n"/>
      <c r="C47" s="351" t="n"/>
      <c r="D47" s="347" t="n"/>
      <c r="E47" s="347" t="n"/>
      <c r="F47" s="347">
        <f>E47</f>
        <v/>
      </c>
      <c r="G47" s="347" t="n"/>
      <c r="H47" s="347">
        <f>G47</f>
        <v/>
      </c>
      <c r="I47" s="347" t="n"/>
      <c r="J47" s="347" t="n"/>
      <c r="K47" s="347">
        <f>J47</f>
        <v/>
      </c>
      <c r="L47" s="347" t="n"/>
      <c r="M47" s="347" t="n"/>
      <c r="N47" s="347" t="n"/>
      <c r="O47" s="347" t="n"/>
      <c r="P47" s="347" t="n"/>
      <c r="Q47" s="347" t="n"/>
      <c r="R47" s="347" t="n"/>
      <c r="S47" s="347" t="n"/>
      <c r="T47" s="347" t="n"/>
      <c r="U47" s="347" t="n"/>
      <c r="V47" s="347">
        <f>D47-E47-G47-J47-U47-R47-P47</f>
        <v/>
      </c>
      <c r="W47" s="1102">
        <f>V47*0.5/100</f>
        <v/>
      </c>
      <c r="X47" s="73" t="n"/>
      <c r="Y47" s="73" t="n"/>
      <c r="Z47" s="73" t="n"/>
    </row>
    <row r="48">
      <c r="B48" s="371" t="n"/>
      <c r="C48" s="351" t="n"/>
      <c r="D48" s="347" t="n"/>
      <c r="E48" s="347" t="n"/>
      <c r="F48" s="347">
        <f>E48</f>
        <v/>
      </c>
      <c r="G48" s="347" t="n"/>
      <c r="H48" s="347">
        <f>G48</f>
        <v/>
      </c>
      <c r="I48" s="347" t="n"/>
      <c r="J48" s="347" t="n"/>
      <c r="K48" s="347">
        <f>J48</f>
        <v/>
      </c>
      <c r="L48" s="347" t="n"/>
      <c r="M48" s="347" t="n"/>
      <c r="N48" s="347" t="n"/>
      <c r="O48" s="347" t="n"/>
      <c r="P48" s="347" t="n"/>
      <c r="Q48" s="347" t="n"/>
      <c r="R48" s="347" t="n"/>
      <c r="S48" s="347" t="n"/>
      <c r="T48" s="347" t="n"/>
      <c r="U48" s="347" t="n"/>
      <c r="V48" s="347">
        <f>D48-E48-G48-J48-U48-R48-P48</f>
        <v/>
      </c>
      <c r="W48" s="1102">
        <f>V48*0.5/100</f>
        <v/>
      </c>
      <c r="X48" s="73">
        <f>IFERROR(VLOOKUP(C48,DATA!$U$2:$V$32,2,FALSE),0)</f>
        <v/>
      </c>
      <c r="Y48" s="73">
        <f>+X48+G48</f>
        <v/>
      </c>
    </row>
    <row r="49">
      <c r="B49" s="371" t="n"/>
      <c r="C49" s="351" t="n"/>
      <c r="D49" s="347" t="n"/>
      <c r="E49" s="347" t="n"/>
      <c r="F49" s="347">
        <f>E49</f>
        <v/>
      </c>
      <c r="G49" s="347" t="n"/>
      <c r="H49" s="347">
        <f>G49</f>
        <v/>
      </c>
      <c r="I49" s="347" t="n"/>
      <c r="J49" s="347" t="n"/>
      <c r="K49" s="347">
        <f>J49</f>
        <v/>
      </c>
      <c r="L49" s="347" t="n"/>
      <c r="M49" s="347" t="n"/>
      <c r="N49" s="347" t="n"/>
      <c r="O49" s="347" t="n"/>
      <c r="P49" s="347" t="n"/>
      <c r="Q49" s="347" t="n"/>
      <c r="R49" s="347" t="n"/>
      <c r="S49" s="347" t="n"/>
      <c r="T49" s="347" t="n"/>
      <c r="U49" s="347" t="n"/>
      <c r="V49" s="347">
        <f>D49-E49-G49-J49-U49-R49-P49</f>
        <v/>
      </c>
      <c r="W49" s="1102">
        <f>V49*0.5/100</f>
        <v/>
      </c>
      <c r="X49" s="73">
        <f>IFERROR(VLOOKUP(C49,DATA!$U$2:$V$32,2,FALSE),0)</f>
        <v/>
      </c>
      <c r="Y49" s="73">
        <f>+X49+G49</f>
        <v/>
      </c>
      <c r="Z49" s="73" t="n"/>
    </row>
    <row r="50">
      <c r="B50" s="371" t="n"/>
      <c r="C50" s="351" t="n"/>
      <c r="D50" s="347" t="n"/>
      <c r="E50" s="347" t="n"/>
      <c r="F50" s="347">
        <f>E50</f>
        <v/>
      </c>
      <c r="G50" s="347" t="n"/>
      <c r="H50" s="347">
        <f>G50</f>
        <v/>
      </c>
      <c r="I50" s="347" t="n"/>
      <c r="J50" s="347" t="n"/>
      <c r="K50" s="347">
        <f>J50</f>
        <v/>
      </c>
      <c r="L50" s="347" t="n"/>
      <c r="M50" s="347" t="n"/>
      <c r="N50" s="347" t="n"/>
      <c r="O50" s="347" t="n"/>
      <c r="P50" s="347" t="n"/>
      <c r="Q50" s="347" t="n"/>
      <c r="R50" s="347" t="n"/>
      <c r="S50" s="347" t="n"/>
      <c r="T50" s="347" t="n"/>
      <c r="U50" s="347" t="n"/>
      <c r="V50" s="347">
        <f>D50-E50-G50-J50-U50-R50-P50</f>
        <v/>
      </c>
      <c r="W50" s="1102">
        <f>V50*0.5/100</f>
        <v/>
      </c>
      <c r="X50" s="73">
        <f>IFERROR(VLOOKUP(C50,DATA!$U$2:$V$32,2,FALSE),0)</f>
        <v/>
      </c>
      <c r="Y50" s="73">
        <f>+X50+G50</f>
        <v/>
      </c>
    </row>
    <row r="51">
      <c r="B51" s="371" t="n"/>
      <c r="C51" s="351" t="n"/>
      <c r="D51" s="347" t="n"/>
      <c r="E51" s="347" t="n"/>
      <c r="F51" s="347">
        <f>E51</f>
        <v/>
      </c>
      <c r="G51" s="347" t="n"/>
      <c r="H51" s="347">
        <f>G51</f>
        <v/>
      </c>
      <c r="I51" s="347" t="n"/>
      <c r="J51" s="347" t="n"/>
      <c r="K51" s="347">
        <f>J51</f>
        <v/>
      </c>
      <c r="L51" s="347" t="n"/>
      <c r="M51" s="347" t="n"/>
      <c r="N51" s="347" t="n"/>
      <c r="O51" s="347" t="n"/>
      <c r="P51" s="347" t="n"/>
      <c r="Q51" s="347" t="n"/>
      <c r="R51" s="347" t="n"/>
      <c r="S51" s="347" t="n"/>
      <c r="T51" s="347" t="n"/>
      <c r="U51" s="347" t="n"/>
      <c r="V51" s="347">
        <f>D51-E51-G51-J51-U51-R51-P51</f>
        <v/>
      </c>
      <c r="W51" s="1102">
        <f>V51*0.5/100</f>
        <v/>
      </c>
      <c r="X51" s="73">
        <f>IFERROR(VLOOKUP(C51,DATA!$U$2:$V$32,2,FALSE),0)</f>
        <v/>
      </c>
      <c r="Y51" s="73">
        <f>+X51+G51</f>
        <v/>
      </c>
    </row>
    <row r="52">
      <c r="B52" s="371" t="n"/>
      <c r="C52" s="351" t="n"/>
      <c r="D52" s="347" t="n"/>
      <c r="E52" s="347" t="n"/>
      <c r="F52" s="347">
        <f>E52</f>
        <v/>
      </c>
      <c r="G52" s="347" t="n"/>
      <c r="H52" s="347">
        <f>G52</f>
        <v/>
      </c>
      <c r="I52" s="347" t="n"/>
      <c r="J52" s="347" t="n"/>
      <c r="K52" s="347">
        <f>J52</f>
        <v/>
      </c>
      <c r="L52" s="347" t="n"/>
      <c r="M52" s="347" t="n"/>
      <c r="N52" s="347" t="n"/>
      <c r="O52" s="347" t="n"/>
      <c r="P52" s="347" t="n"/>
      <c r="Q52" s="347" t="n"/>
      <c r="R52" s="347" t="n"/>
      <c r="S52" s="347" t="n"/>
      <c r="T52" s="347" t="n"/>
      <c r="U52" s="347" t="n"/>
      <c r="V52" s="347">
        <f>D52-E52-G52-J52-U52-R52-P52</f>
        <v/>
      </c>
      <c r="W52" s="1102">
        <f>V52*0.5/100</f>
        <v/>
      </c>
      <c r="X52" s="73">
        <f>IFERROR(VLOOKUP(C52,DATA!$U$2:$V$32,2,FALSE),0)</f>
        <v/>
      </c>
      <c r="Y52" s="73">
        <f>+X52+G52</f>
        <v/>
      </c>
    </row>
    <row r="53">
      <c r="B53" s="371" t="n"/>
      <c r="C53" s="351" t="n"/>
      <c r="D53" s="347" t="n"/>
      <c r="E53" s="347" t="n"/>
      <c r="F53" s="347">
        <f>E53</f>
        <v/>
      </c>
      <c r="G53" s="347" t="n"/>
      <c r="H53" s="347">
        <f>G53</f>
        <v/>
      </c>
      <c r="I53" s="347" t="n"/>
      <c r="J53" s="347" t="n"/>
      <c r="K53" s="347">
        <f>J53</f>
        <v/>
      </c>
      <c r="L53" s="347" t="n"/>
      <c r="M53" s="347" t="n"/>
      <c r="N53" s="347" t="n"/>
      <c r="O53" s="347" t="n"/>
      <c r="P53" s="347" t="n"/>
      <c r="Q53" s="347" t="n"/>
      <c r="R53" s="347" t="n"/>
      <c r="S53" s="347" t="n"/>
      <c r="T53" s="347" t="n"/>
      <c r="U53" s="347" t="n"/>
      <c r="V53" s="347">
        <f>D53-E53-G53-J53-U53-R53-P53</f>
        <v/>
      </c>
      <c r="W53" s="1102">
        <f>V53*0.5/100</f>
        <v/>
      </c>
      <c r="X53" s="73" t="n"/>
      <c r="Y53" s="73" t="n"/>
      <c r="Z53" s="73" t="n"/>
      <c r="AE53" t="inlineStr">
        <is>
          <t xml:space="preserve"> </t>
        </is>
      </c>
    </row>
    <row r="54" ht="18.75" customHeight="1">
      <c r="B54" s="371" t="n"/>
      <c r="C54" s="351" t="n"/>
      <c r="D54" s="347" t="n"/>
      <c r="E54" s="442" t="n"/>
      <c r="F54" s="347">
        <f>E54</f>
        <v/>
      </c>
      <c r="G54" s="347" t="n"/>
      <c r="H54" s="347">
        <f>G54</f>
        <v/>
      </c>
      <c r="I54" s="347" t="n"/>
      <c r="J54" s="347" t="n"/>
      <c r="K54" s="347">
        <f>J54</f>
        <v/>
      </c>
      <c r="L54" s="347" t="n"/>
      <c r="M54" s="347" t="n"/>
      <c r="N54" s="347" t="n"/>
      <c r="O54" s="347" t="n"/>
      <c r="P54" s="347" t="n"/>
      <c r="Q54" s="347" t="n"/>
      <c r="R54" s="347" t="n"/>
      <c r="S54" s="347" t="n"/>
      <c r="T54" s="347" t="n"/>
      <c r="U54" s="347" t="n"/>
      <c r="V54" s="347">
        <f>D54-E54-G54-J54-U54-R54-P54</f>
        <v/>
      </c>
      <c r="W54" s="1102">
        <f>V54*0.5/100</f>
        <v/>
      </c>
      <c r="X54" s="73" t="n"/>
      <c r="Y54" s="140" t="n"/>
      <c r="Z54" s="1098" t="n"/>
    </row>
    <row r="55" ht="18.75" customHeight="1">
      <c r="B55" s="371" t="n"/>
      <c r="C55" s="351" t="n"/>
      <c r="D55" s="347" t="n"/>
      <c r="E55" s="442" t="n"/>
      <c r="F55" s="347">
        <f>E55</f>
        <v/>
      </c>
      <c r="G55" s="347" t="n"/>
      <c r="H55" s="347">
        <f>G55</f>
        <v/>
      </c>
      <c r="I55" s="347" t="n"/>
      <c r="J55" s="347" t="n"/>
      <c r="K55" s="347">
        <f>J55</f>
        <v/>
      </c>
      <c r="L55" s="347" t="n"/>
      <c r="M55" s="347" t="n"/>
      <c r="N55" s="347" t="n"/>
      <c r="O55" s="347" t="n"/>
      <c r="P55" s="347" t="n"/>
      <c r="Q55" s="347" t="n"/>
      <c r="R55" s="347" t="n"/>
      <c r="S55" s="347" t="n"/>
      <c r="T55" s="347" t="n"/>
      <c r="U55" s="347" t="n"/>
      <c r="V55" s="347">
        <f>D55-E55-G55-J55-U55-R55-P55</f>
        <v/>
      </c>
      <c r="W55" s="1102">
        <f>V55*0.5/100</f>
        <v/>
      </c>
      <c r="X55" s="73" t="n"/>
      <c r="Y55" s="140" t="n"/>
      <c r="Z55" s="1098" t="n"/>
    </row>
    <row r="56" ht="18.75" customHeight="1">
      <c r="B56" s="371" t="n"/>
      <c r="C56" s="351" t="n"/>
      <c r="D56" s="347" t="n"/>
      <c r="E56" s="442" t="n"/>
      <c r="F56" s="347">
        <f>E56</f>
        <v/>
      </c>
      <c r="G56" s="347" t="n"/>
      <c r="H56" s="347">
        <f>G56</f>
        <v/>
      </c>
      <c r="I56" s="347" t="n"/>
      <c r="J56" s="347" t="n"/>
      <c r="K56" s="347">
        <f>J56</f>
        <v/>
      </c>
      <c r="L56" s="347" t="n"/>
      <c r="M56" s="347" t="n"/>
      <c r="N56" s="347" t="n"/>
      <c r="O56" s="347" t="n"/>
      <c r="P56" s="347" t="n"/>
      <c r="Q56" s="347" t="n"/>
      <c r="R56" s="347" t="n"/>
      <c r="S56" s="347" t="n"/>
      <c r="T56" s="347" t="n"/>
      <c r="U56" s="347" t="n"/>
      <c r="V56" s="347">
        <f>D56-E56-G56-J56-U56-R56-P56</f>
        <v/>
      </c>
      <c r="W56" s="1102">
        <f>V56*0.5/100</f>
        <v/>
      </c>
      <c r="Y56" s="140" t="n"/>
      <c r="Z56" s="1098" t="n"/>
    </row>
    <row r="57" ht="18.75" customHeight="1">
      <c r="B57" s="371" t="n"/>
      <c r="C57" s="351" t="n"/>
      <c r="D57" s="347" t="n"/>
      <c r="E57" s="442" t="n"/>
      <c r="F57" s="347">
        <f>E57</f>
        <v/>
      </c>
      <c r="G57" s="347" t="n"/>
      <c r="H57" s="347">
        <f>G57</f>
        <v/>
      </c>
      <c r="I57" s="347" t="n"/>
      <c r="J57" s="347" t="n"/>
      <c r="K57" s="347">
        <f>J57</f>
        <v/>
      </c>
      <c r="L57" s="347" t="n"/>
      <c r="M57" s="347" t="n"/>
      <c r="N57" s="347" t="n"/>
      <c r="O57" s="347" t="n"/>
      <c r="P57" s="347" t="n"/>
      <c r="Q57" s="347" t="n"/>
      <c r="R57" s="347" t="n"/>
      <c r="S57" s="347" t="n"/>
      <c r="T57" s="347" t="n"/>
      <c r="U57" s="347" t="n"/>
      <c r="V57" s="347">
        <f>D57-E57-G57-J57-U57-R57-P57</f>
        <v/>
      </c>
      <c r="W57" s="1102">
        <f>V57*0.5/100</f>
        <v/>
      </c>
      <c r="Y57" s="209" t="n"/>
      <c r="Z57" s="1098" t="n"/>
    </row>
    <row r="58" ht="18.75" customHeight="1">
      <c r="B58" s="371" t="n"/>
      <c r="C58" s="351" t="n"/>
      <c r="D58" s="347" t="n"/>
      <c r="E58" s="442" t="n"/>
      <c r="F58" s="347">
        <f>E58</f>
        <v/>
      </c>
      <c r="G58" s="347" t="n"/>
      <c r="H58" s="347">
        <f>G58</f>
        <v/>
      </c>
      <c r="I58" s="347" t="n"/>
      <c r="J58" s="347" t="n"/>
      <c r="K58" s="347">
        <f>J58</f>
        <v/>
      </c>
      <c r="L58" s="347" t="n"/>
      <c r="M58" s="347" t="n"/>
      <c r="N58" s="347" t="n"/>
      <c r="O58" s="347" t="n"/>
      <c r="P58" s="347" t="n"/>
      <c r="Q58" s="347" t="n"/>
      <c r="R58" s="347" t="n"/>
      <c r="S58" s="347" t="n"/>
      <c r="T58" s="347" t="n"/>
      <c r="U58" s="347" t="n"/>
      <c r="V58" s="347">
        <f>D58-E58-G58-J58-U58-R58-P58</f>
        <v/>
      </c>
      <c r="W58" s="1102">
        <f>V58*0.5/100</f>
        <v/>
      </c>
      <c r="Y58" s="209" t="n"/>
      <c r="Z58" s="1098" t="n"/>
    </row>
    <row r="59" ht="18.75" customHeight="1">
      <c r="B59" s="371" t="n"/>
      <c r="C59" s="351" t="n"/>
      <c r="D59" s="347" t="n"/>
      <c r="E59" s="442" t="n"/>
      <c r="F59" s="347">
        <f>E59</f>
        <v/>
      </c>
      <c r="G59" s="347" t="n"/>
      <c r="H59" s="347">
        <f>G59</f>
        <v/>
      </c>
      <c r="I59" s="347" t="n"/>
      <c r="J59" s="347" t="n"/>
      <c r="K59" s="347">
        <f>J59</f>
        <v/>
      </c>
      <c r="L59" s="347" t="n"/>
      <c r="M59" s="347" t="n"/>
      <c r="N59" s="347" t="n"/>
      <c r="O59" s="347" t="n"/>
      <c r="P59" s="347" t="n"/>
      <c r="Q59" s="347" t="n"/>
      <c r="R59" s="347" t="n"/>
      <c r="S59" s="347" t="n"/>
      <c r="T59" s="347" t="n"/>
      <c r="U59" s="347" t="n"/>
      <c r="V59" s="347">
        <f>D59-E59-G59-J59-U59-R59-P59</f>
        <v/>
      </c>
      <c r="W59" s="1102">
        <f>V59*0.5/100</f>
        <v/>
      </c>
      <c r="Y59" s="209" t="n"/>
      <c r="Z59" s="1098" t="n"/>
    </row>
    <row r="60" ht="18.75" customHeight="1">
      <c r="B60" s="371" t="n"/>
      <c r="C60" s="351" t="n"/>
      <c r="D60" s="347" t="n"/>
      <c r="E60" s="442" t="n"/>
      <c r="F60" s="347">
        <f>E60</f>
        <v/>
      </c>
      <c r="G60" s="347" t="n"/>
      <c r="H60" s="347">
        <f>G60</f>
        <v/>
      </c>
      <c r="I60" s="347" t="n"/>
      <c r="J60" s="347" t="n"/>
      <c r="K60" s="347">
        <f>J60</f>
        <v/>
      </c>
      <c r="L60" s="347" t="n"/>
      <c r="M60" s="347" t="n"/>
      <c r="N60" s="347" t="n"/>
      <c r="O60" s="347" t="n"/>
      <c r="P60" s="347" t="n"/>
      <c r="Q60" s="347" t="n"/>
      <c r="R60" s="347" t="n"/>
      <c r="S60" s="347" t="n"/>
      <c r="T60" s="347" t="n"/>
      <c r="U60" s="347" t="n"/>
      <c r="V60" s="347">
        <f>D60-E60-G60-J60-U60-R60-P60</f>
        <v/>
      </c>
      <c r="W60" s="1102">
        <f>V60*0.5/100</f>
        <v/>
      </c>
      <c r="Y60" s="209" t="n"/>
      <c r="Z60" s="1098" t="n"/>
    </row>
    <row r="61" ht="18.75" customHeight="1">
      <c r="B61" s="1104" t="n"/>
      <c r="C61" s="347" t="n"/>
      <c r="D61" s="347" t="n"/>
      <c r="E61" s="442" t="n"/>
      <c r="F61" s="347">
        <f>E61</f>
        <v/>
      </c>
      <c r="G61" s="347" t="n"/>
      <c r="H61" s="347">
        <f>G61</f>
        <v/>
      </c>
      <c r="I61" s="347" t="n"/>
      <c r="J61" s="347" t="n"/>
      <c r="K61" s="347">
        <f>J61</f>
        <v/>
      </c>
      <c r="L61" s="347" t="n"/>
      <c r="M61" s="347" t="n"/>
      <c r="N61" s="347" t="n"/>
      <c r="O61" s="347" t="n"/>
      <c r="P61" s="347" t="n"/>
      <c r="Q61" s="347" t="n"/>
      <c r="R61" s="347" t="n"/>
      <c r="S61" s="347" t="n"/>
      <c r="T61" s="347" t="n"/>
      <c r="U61" s="347" t="n"/>
      <c r="V61" s="347">
        <f>D61-E61-G61-J61-U61-R61-P61</f>
        <v/>
      </c>
      <c r="W61" s="1102">
        <f>V61*0.5/100</f>
        <v/>
      </c>
      <c r="Y61" s="209" t="n"/>
      <c r="Z61" s="1098" t="n"/>
    </row>
    <row r="62" ht="18.75" customHeight="1">
      <c r="B62" s="1104" t="n"/>
      <c r="C62" s="347" t="n"/>
      <c r="D62" s="347" t="n"/>
      <c r="E62" s="442" t="n"/>
      <c r="F62" s="347">
        <f>E62</f>
        <v/>
      </c>
      <c r="G62" s="347" t="n"/>
      <c r="H62" s="347">
        <f>G62</f>
        <v/>
      </c>
      <c r="I62" s="347" t="n"/>
      <c r="J62" s="347" t="n"/>
      <c r="K62" s="347">
        <f>J62</f>
        <v/>
      </c>
      <c r="L62" s="347" t="n"/>
      <c r="M62" s="347" t="n"/>
      <c r="N62" s="347" t="n"/>
      <c r="O62" s="347" t="n"/>
      <c r="P62" s="347" t="n"/>
      <c r="Q62" s="347" t="n"/>
      <c r="R62" s="347" t="n"/>
      <c r="S62" s="347" t="n"/>
      <c r="T62" s="347" t="n"/>
      <c r="U62" s="347" t="n"/>
      <c r="V62" s="347">
        <f>D62-E62-G62-J62-U62-R62-P62</f>
        <v/>
      </c>
      <c r="W62" s="1102">
        <f>V62*0.5/100</f>
        <v/>
      </c>
      <c r="Y62" s="209" t="n"/>
      <c r="Z62" s="1098" t="n"/>
    </row>
    <row r="63">
      <c r="B63" s="1104" t="n"/>
      <c r="C63" s="347" t="n"/>
      <c r="D63" s="347" t="n"/>
      <c r="E63" s="442" t="n"/>
      <c r="F63" s="347">
        <f>E63</f>
        <v/>
      </c>
      <c r="G63" s="347" t="n"/>
      <c r="H63" s="347">
        <f>G63</f>
        <v/>
      </c>
      <c r="I63" s="347" t="n"/>
      <c r="J63" s="347" t="n"/>
      <c r="K63" s="347">
        <f>J63</f>
        <v/>
      </c>
      <c r="L63" s="347" t="n"/>
      <c r="M63" s="347" t="n"/>
      <c r="N63" s="347" t="n"/>
      <c r="O63" s="347" t="n"/>
      <c r="P63" s="347" t="n"/>
      <c r="Q63" s="347" t="n"/>
      <c r="R63" s="347" t="n"/>
      <c r="S63" s="347" t="n"/>
      <c r="T63" s="347" t="n"/>
      <c r="U63" s="347" t="n"/>
      <c r="V63" s="347">
        <f>D63-E63-G63-J63-U63-R63-P63</f>
        <v/>
      </c>
      <c r="W63" s="1102">
        <f>V63*0.5/100</f>
        <v/>
      </c>
      <c r="X63" s="73" t="n"/>
      <c r="Y63" s="73" t="n"/>
      <c r="Z63" s="73" t="n"/>
      <c r="AA63" s="1098" t="n"/>
    </row>
    <row r="64" ht="18.75" customHeight="1">
      <c r="B64" s="1105" t="n"/>
      <c r="C64" s="141" t="n"/>
      <c r="D64" s="140" t="n"/>
      <c r="E64" s="209" t="n"/>
      <c r="F64" s="140">
        <f>E64</f>
        <v/>
      </c>
      <c r="G64" s="140" t="n"/>
      <c r="H64" s="140">
        <f>G64</f>
        <v/>
      </c>
      <c r="I64" s="140" t="n"/>
      <c r="J64" s="140" t="n"/>
      <c r="K64" s="140">
        <f>J64</f>
        <v/>
      </c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>
        <f>D64-E64-G64-J64-U64-R64-P64</f>
        <v/>
      </c>
      <c r="W64" s="1098">
        <f>V64*0.5/100</f>
        <v/>
      </c>
      <c r="X64" s="73" t="n"/>
      <c r="Y64" s="73" t="n"/>
      <c r="Z64" s="73" t="n"/>
      <c r="AA64" s="1098" t="n"/>
    </row>
    <row r="65" ht="19.5" customHeight="1" thickBot="1">
      <c r="B65" s="1105" t="n"/>
      <c r="C65" s="141" t="n"/>
      <c r="D65" s="140" t="n"/>
      <c r="E65" s="209" t="n"/>
      <c r="F65" s="140" t="n"/>
      <c r="G65" s="140" t="n"/>
      <c r="H65" s="140" t="n"/>
      <c r="I65" s="140" t="n"/>
      <c r="J65" s="140" t="n"/>
      <c r="K65" s="140" t="n"/>
      <c r="L65" s="140" t="n"/>
      <c r="M65" s="140" t="n"/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098" t="n"/>
      <c r="X65" s="73" t="n"/>
      <c r="Y65" s="73" t="n"/>
      <c r="Z65" s="73" t="n"/>
      <c r="AA65" s="1098" t="n"/>
    </row>
    <row r="66" ht="19.5" customHeight="1" thickBot="1">
      <c r="B66" s="1106" t="n"/>
      <c r="C66" s="905" t="n"/>
      <c r="D66" s="211">
        <f>SUM(D8:D63)</f>
        <v/>
      </c>
      <c r="E66" s="211">
        <f>SUM(E8:E63)</f>
        <v/>
      </c>
      <c r="F66" s="211">
        <f>SUM(F8:F63)</f>
        <v/>
      </c>
      <c r="G66" s="211">
        <f>SUM(G9:G63)</f>
        <v/>
      </c>
      <c r="H66" s="211">
        <f>SUM(H9:H63)</f>
        <v/>
      </c>
      <c r="I66" s="211">
        <f>SUM(I9:I63)</f>
        <v/>
      </c>
      <c r="J66" s="211">
        <f>SUM(J8:J63)</f>
        <v/>
      </c>
      <c r="K66" s="211">
        <f>SUM(K8:K63)</f>
        <v/>
      </c>
      <c r="L66" s="211">
        <f>SUM(L9:L63)</f>
        <v/>
      </c>
      <c r="M66" s="211">
        <f>SUM(M9:M53)</f>
        <v/>
      </c>
      <c r="N66" s="211">
        <f>SUM(N8:N63)</f>
        <v/>
      </c>
      <c r="O66" s="211">
        <f>SUM(O8:O63)</f>
        <v/>
      </c>
      <c r="P66" s="211">
        <f>SUM(P8:P63)</f>
        <v/>
      </c>
      <c r="Q66" s="211">
        <f>SUM(Q9:Q63)</f>
        <v/>
      </c>
      <c r="R66" s="211">
        <f>SUM(R9:R63)</f>
        <v/>
      </c>
      <c r="S66" s="211">
        <f>SUM(S9:S63)</f>
        <v/>
      </c>
      <c r="T66" s="211">
        <f>SUM(T9:T63)</f>
        <v/>
      </c>
      <c r="U66" s="211">
        <f>SUM(U9:U63)</f>
        <v/>
      </c>
      <c r="V66" s="211">
        <f>SUM(V8:V63)</f>
        <v/>
      </c>
      <c r="W66" s="211" t="n"/>
      <c r="X66" s="985" t="n"/>
    </row>
    <row r="67">
      <c r="D67" s="985" t="n"/>
      <c r="J67" s="73" t="n"/>
      <c r="N67" s="1098" t="n"/>
      <c r="O67" s="1098" t="n"/>
      <c r="P67" s="1098" t="n"/>
      <c r="V67" s="985" t="n"/>
      <c r="W67" s="73" t="n"/>
    </row>
    <row r="68">
      <c r="D68" s="985" t="n"/>
      <c r="F68" s="985" t="n"/>
      <c r="G68" s="985" t="n"/>
      <c r="H68" s="985" t="n"/>
    </row>
    <row r="69" ht="21.75" customHeight="1" thickBot="1">
      <c r="B69" s="1099" t="inlineStr">
        <is>
          <t xml:space="preserve"> MEMBERS COLLECTION @5%</t>
        </is>
      </c>
      <c r="C69" s="1099" t="n"/>
      <c r="D69" s="1099" t="n"/>
      <c r="E69" s="1099" t="n"/>
      <c r="F69" s="1099" t="n"/>
      <c r="G69" s="1099" t="n"/>
      <c r="H69" s="1099" t="n"/>
      <c r="I69" s="1099" t="n"/>
      <c r="J69" s="977" t="n"/>
      <c r="K69" s="977" t="n"/>
    </row>
    <row r="70" ht="15" customHeight="1" thickBot="1">
      <c r="B70" s="851" t="inlineStr">
        <is>
          <t>Flat No.</t>
        </is>
      </c>
      <c r="C70" s="851" t="inlineStr">
        <is>
          <t>Name of Owner</t>
        </is>
      </c>
      <c r="D70" s="851" t="inlineStr">
        <is>
          <t>CR SIDE</t>
        </is>
      </c>
      <c r="E70" s="849" t="inlineStr">
        <is>
          <t>Receipt of Registration Fees</t>
        </is>
      </c>
      <c r="F70" s="849" t="inlineStr">
        <is>
          <t>Payment of Reg Fees on Behalf of Client</t>
        </is>
      </c>
      <c r="G70" s="849" t="inlineStr">
        <is>
          <t>Receipt of stamp duty/JV (Cr)</t>
        </is>
      </c>
      <c r="H70" s="849" t="inlineStr">
        <is>
          <t>Payment of stamp duty on Behalf of Client / JV (Dr)</t>
        </is>
      </c>
      <c r="I70" s="849" t="inlineStr">
        <is>
          <t>REFUND OF SAME PEROID</t>
        </is>
      </c>
      <c r="J70" s="849" t="inlineStr">
        <is>
          <t>REFUNDABLE DEPOSIT</t>
        </is>
      </c>
      <c r="K70" s="301" t="inlineStr">
        <is>
          <t>REFUNDABLE DEPOSIT JV(Dr.)</t>
        </is>
      </c>
      <c r="L70" s="849" t="inlineStr">
        <is>
          <t>REFUND WITHOUT GST</t>
        </is>
      </c>
      <c r="M70" s="849" t="inlineStr">
        <is>
          <t>Cheque Return Amount</t>
        </is>
      </c>
      <c r="N70" s="301" t="inlineStr">
        <is>
          <t>Sale Deed JV</t>
        </is>
      </c>
      <c r="O70" s="301" t="inlineStr">
        <is>
          <t>PLC JV</t>
        </is>
      </c>
      <c r="P70" s="301" t="inlineStr">
        <is>
          <t>PLC Income</t>
        </is>
      </c>
      <c r="Q70" s="849" t="inlineStr">
        <is>
          <t>AEC,AUDA JV</t>
        </is>
      </c>
      <c r="R70" s="849" t="n"/>
      <c r="S70" s="849" t="n"/>
      <c r="T70" s="849" t="n"/>
      <c r="U70" s="849" t="n"/>
      <c r="V70" s="849" t="inlineStr">
        <is>
          <t>NET RECEIPT</t>
        </is>
      </c>
    </row>
    <row r="71" ht="15.75" customHeight="1" thickBot="1">
      <c r="B71" s="903" t="n"/>
      <c r="C71" s="903" t="n"/>
      <c r="D71" s="903" t="n"/>
      <c r="E71" s="850" t="n"/>
      <c r="F71" s="850" t="n"/>
      <c r="G71" s="850" t="n"/>
      <c r="H71" s="850" t="n"/>
      <c r="I71" s="850" t="n"/>
      <c r="J71" s="850" t="n"/>
      <c r="K71" s="850" t="n"/>
      <c r="L71" s="850" t="n"/>
      <c r="M71" s="850" t="n"/>
      <c r="N71" s="850" t="n"/>
      <c r="O71" s="850" t="n"/>
      <c r="P71" s="850" t="n"/>
      <c r="Q71" s="850" t="n"/>
      <c r="R71" s="850" t="n"/>
      <c r="S71" s="850" t="n"/>
      <c r="T71" s="850" t="n"/>
      <c r="U71" s="850" t="n"/>
      <c r="V71" s="850" t="n"/>
    </row>
    <row r="72" ht="14.25" customFormat="1" customHeight="1" s="1">
      <c r="B72" s="4" t="n"/>
      <c r="C72" s="347" t="n"/>
      <c r="D72" s="347" t="n"/>
      <c r="E72" s="347" t="n"/>
      <c r="F72" s="347">
        <f>+E72</f>
        <v/>
      </c>
      <c r="G72" s="347" t="n">
        <v>0</v>
      </c>
      <c r="H72" s="347">
        <f>+G72</f>
        <v/>
      </c>
      <c r="I72" s="347" t="n"/>
      <c r="J72" s="347" t="n"/>
      <c r="K72" s="347" t="n"/>
      <c r="L72" s="347" t="n"/>
      <c r="M72" s="347" t="n">
        <v>0</v>
      </c>
      <c r="N72" s="347" t="n"/>
      <c r="O72" s="347" t="n"/>
      <c r="P72" s="347" t="n"/>
      <c r="Q72" s="347" t="n"/>
      <c r="R72" s="347" t="n"/>
      <c r="S72" s="347" t="n"/>
      <c r="T72" s="347" t="n"/>
      <c r="U72" s="347" t="n"/>
      <c r="V72" s="347">
        <f>D72-E72-G72-J72-P72</f>
        <v/>
      </c>
      <c r="W72" s="1102">
        <f>V72*2.5/100</f>
        <v/>
      </c>
      <c r="X72" s="342">
        <f>IFERROR(VLOOKUP(C72,DATA!$U$2:$V$32,2,FALSE),0)</f>
        <v/>
      </c>
      <c r="Y72" s="342">
        <f>+X72+G72</f>
        <v/>
      </c>
    </row>
    <row r="73" ht="14.25" customFormat="1" customHeight="1" s="1">
      <c r="B73" s="347" t="n"/>
      <c r="C73" s="347" t="n"/>
      <c r="D73" s="347" t="n"/>
      <c r="E73" s="347" t="n"/>
      <c r="F73" s="347" t="n"/>
      <c r="G73" s="347" t="n"/>
      <c r="H73" s="347" t="n"/>
      <c r="I73" s="347" t="n"/>
      <c r="J73" s="347" t="n"/>
      <c r="K73" s="347" t="n"/>
      <c r="L73" s="347" t="n"/>
      <c r="M73" s="347" t="n"/>
      <c r="N73" s="347" t="n"/>
      <c r="O73" s="347" t="n"/>
      <c r="P73" s="347" t="n"/>
      <c r="Q73" s="347" t="n"/>
      <c r="R73" s="347" t="n"/>
      <c r="S73" s="347" t="n"/>
      <c r="T73" s="347" t="n"/>
      <c r="U73" s="347" t="n"/>
      <c r="V73" s="347">
        <f>D73-E73-G73-J73-P73</f>
        <v/>
      </c>
      <c r="W73" s="342">
        <f>P73*9/100</f>
        <v/>
      </c>
      <c r="X73" s="1">
        <f>V73*2.5%</f>
        <v/>
      </c>
    </row>
    <row r="74" ht="14.25" customFormat="1" customHeight="1" s="1">
      <c r="B74" s="347" t="n"/>
      <c r="C74" s="347" t="n"/>
      <c r="D74" s="347" t="n"/>
      <c r="E74" s="347" t="n"/>
      <c r="F74" s="347" t="n"/>
      <c r="G74" s="347" t="n"/>
      <c r="H74" s="347">
        <f>+G74</f>
        <v/>
      </c>
      <c r="I74" s="347" t="n"/>
      <c r="J74" s="347" t="n"/>
      <c r="K74" s="347" t="n"/>
      <c r="L74" s="347" t="n"/>
      <c r="M74" s="347" t="n"/>
      <c r="N74" s="1107" t="n"/>
      <c r="O74" s="1108" t="n"/>
      <c r="P74" s="1108" t="n"/>
      <c r="Q74" s="347" t="n"/>
      <c r="R74" s="347" t="n"/>
      <c r="S74" s="347" t="n"/>
      <c r="T74" s="347" t="n"/>
      <c r="U74" s="347" t="n"/>
      <c r="V74" s="347">
        <f>D74-E74-G74-J74-P74</f>
        <v/>
      </c>
      <c r="X74" s="1">
        <f>V74*2.5%</f>
        <v/>
      </c>
      <c r="Y74" s="1">
        <f>+P74*9/100</f>
        <v/>
      </c>
    </row>
    <row r="75" ht="14.25" customFormat="1" customHeight="1" s="1">
      <c r="B75" s="347" t="n"/>
      <c r="C75" s="347" t="n"/>
      <c r="D75" s="347" t="n"/>
      <c r="E75" s="347" t="n"/>
      <c r="F75" s="347" t="n"/>
      <c r="G75" s="347" t="n"/>
      <c r="H75" s="347">
        <f>+G75</f>
        <v/>
      </c>
      <c r="I75" s="347" t="n"/>
      <c r="J75" s="347" t="n"/>
      <c r="K75" s="347" t="n"/>
      <c r="L75" s="347" t="n"/>
      <c r="M75" s="347" t="n"/>
      <c r="N75" s="347" t="n"/>
      <c r="O75" s="347" t="n"/>
      <c r="P75" s="347" t="n"/>
      <c r="Q75" s="347" t="n"/>
      <c r="R75" s="347" t="n"/>
      <c r="S75" s="347" t="n"/>
      <c r="T75" s="347" t="n"/>
      <c r="U75" s="347" t="n"/>
      <c r="V75" s="347">
        <f>D75-E75-G75-J75-P75</f>
        <v/>
      </c>
      <c r="X75" s="1">
        <f>V75*2.5%</f>
        <v/>
      </c>
    </row>
    <row r="76" ht="14.25" customFormat="1" customHeight="1" s="1">
      <c r="B76" s="347" t="n"/>
      <c r="C76" s="347" t="n"/>
      <c r="D76" s="347" t="n"/>
      <c r="E76" s="347" t="n"/>
      <c r="F76" s="347">
        <f>+E76</f>
        <v/>
      </c>
      <c r="G76" s="347" t="n"/>
      <c r="H76" s="347">
        <f>+G76</f>
        <v/>
      </c>
      <c r="I76" s="347" t="n"/>
      <c r="J76" s="347" t="n"/>
      <c r="K76" s="347" t="n"/>
      <c r="L76" s="347" t="n"/>
      <c r="M76" s="347" t="n"/>
      <c r="N76" s="347" t="n"/>
      <c r="O76" s="347" t="n"/>
      <c r="P76" s="347" t="n"/>
      <c r="Q76" s="347" t="n"/>
      <c r="R76" s="347" t="n"/>
      <c r="S76" s="347" t="n"/>
      <c r="T76" s="347" t="n"/>
      <c r="U76" s="347" t="n"/>
      <c r="V76" s="347">
        <f>D76-E76-G76-J76-P76</f>
        <v/>
      </c>
      <c r="X76" s="1">
        <f>V76*2.5%</f>
        <v/>
      </c>
    </row>
    <row r="77" customFormat="1" s="1" thickBot="1">
      <c r="B77" s="1109" t="n"/>
      <c r="C77" s="1110" t="n"/>
      <c r="D77" s="367" t="n"/>
      <c r="E77" s="368" t="n"/>
      <c r="F77" s="347" t="n"/>
      <c r="G77" s="347" t="n"/>
      <c r="H77" s="347" t="n"/>
      <c r="I77" s="347" t="n"/>
      <c r="J77" s="347" t="n"/>
      <c r="K77" s="347" t="n"/>
      <c r="L77" s="347" t="n"/>
      <c r="M77" s="347" t="n"/>
      <c r="N77" s="347" t="n"/>
      <c r="O77" s="347" t="n"/>
      <c r="P77" s="347" t="n"/>
      <c r="Q77" s="347" t="n"/>
      <c r="R77" s="347" t="n"/>
      <c r="S77" s="347" t="n"/>
      <c r="T77" s="347" t="n"/>
      <c r="U77" s="347" t="n"/>
      <c r="V77" s="347">
        <f>D77-E77-G77-J77-P77</f>
        <v/>
      </c>
    </row>
    <row r="78" ht="19.5" customHeight="1" thickBot="1">
      <c r="B78" s="904" t="inlineStr">
        <is>
          <t>Total</t>
        </is>
      </c>
      <c r="C78" s="303" t="n"/>
      <c r="D78" s="211">
        <f>SUM(D72:D77)</f>
        <v/>
      </c>
      <c r="E78" s="211">
        <f>SUM(E72:E77)</f>
        <v/>
      </c>
      <c r="F78" s="211">
        <f>SUM(F72:F77)</f>
        <v/>
      </c>
      <c r="G78" s="211">
        <f>SUM(G72:G77)</f>
        <v/>
      </c>
      <c r="H78" s="211">
        <f>SUM(H72:H77)</f>
        <v/>
      </c>
      <c r="I78" s="211">
        <f>SUM(I72:I77)</f>
        <v/>
      </c>
      <c r="J78" s="211">
        <f>SUM(J72:J77)</f>
        <v/>
      </c>
      <c r="K78" s="211">
        <f>SUM(K72:K77)</f>
        <v/>
      </c>
      <c r="L78" s="211">
        <f>SUM(L72:L77)</f>
        <v/>
      </c>
      <c r="M78" s="211">
        <f>SUM(M72:M77)</f>
        <v/>
      </c>
      <c r="N78" s="211">
        <f>SUM(N72:N77)</f>
        <v/>
      </c>
      <c r="O78" s="211">
        <f>SUM(O72:O77)</f>
        <v/>
      </c>
      <c r="P78" s="211">
        <f>SUM(P72:P77)</f>
        <v/>
      </c>
      <c r="Q78" s="211">
        <f>SUM(Q72:Q77)</f>
        <v/>
      </c>
      <c r="R78" s="211" t="n"/>
      <c r="S78" s="211" t="n"/>
      <c r="T78" s="211" t="n"/>
      <c r="U78" s="211" t="n"/>
      <c r="V78" s="211">
        <f>SUM(V72:V77)</f>
        <v/>
      </c>
      <c r="X78">
        <f>+V78*2.5/100</f>
        <v/>
      </c>
    </row>
    <row r="79" ht="19.5" customHeight="1" thickBot="1">
      <c r="B79" s="304" t="n"/>
      <c r="C79" s="209" t="n"/>
      <c r="D79" s="209" t="n"/>
      <c r="E79" s="209" t="n"/>
      <c r="F79" s="209" t="n"/>
      <c r="G79" s="209" t="n"/>
      <c r="H79" s="209" t="n"/>
      <c r="I79" s="209" t="n"/>
      <c r="J79" s="209" t="n"/>
      <c r="K79" s="209" t="n"/>
      <c r="L79" s="209" t="n"/>
      <c r="M79" s="209" t="n"/>
      <c r="N79" s="1111" t="n"/>
      <c r="O79" s="1111" t="n"/>
      <c r="P79" s="1111" t="n"/>
      <c r="Q79" s="209" t="n"/>
      <c r="R79" s="209" t="n"/>
      <c r="S79" s="209" t="n"/>
      <c r="T79" s="209" t="n"/>
      <c r="U79" s="209" t="n"/>
      <c r="V79" s="209" t="n"/>
    </row>
    <row r="80" ht="19.5" customHeight="1" thickBot="1">
      <c r="B80" s="304" t="n"/>
      <c r="C80" s="304" t="n"/>
      <c r="D80" s="228" t="n"/>
      <c r="E80" s="228" t="n"/>
      <c r="F80" s="228" t="n"/>
      <c r="G80" s="228" t="n"/>
      <c r="H80" s="228" t="n"/>
      <c r="I80" s="228" t="n"/>
      <c r="J80" s="229" t="n"/>
      <c r="K80" s="229" t="n"/>
      <c r="L80" s="229" t="n"/>
      <c r="M80" s="229" t="n"/>
      <c r="N80" s="229" t="n"/>
      <c r="O80" s="229" t="n"/>
      <c r="P80" s="229" t="n"/>
      <c r="Q80" s="229" t="n"/>
      <c r="R80" s="229" t="n"/>
      <c r="S80" s="229" t="n"/>
      <c r="T80" s="229" t="n"/>
      <c r="U80" s="229" t="n"/>
      <c r="V80" s="229" t="n"/>
    </row>
    <row r="81" ht="21.75" customHeight="1" thickBot="1">
      <c r="B81" s="1099" t="inlineStr">
        <is>
          <t>SHOP MEMBERS COLLECTION</t>
        </is>
      </c>
      <c r="C81" s="1099" t="n"/>
      <c r="D81" s="1099" t="n"/>
      <c r="E81" s="1099" t="n"/>
      <c r="F81" s="1099" t="n"/>
      <c r="G81" s="1099" t="n"/>
      <c r="H81" s="1099" t="n"/>
      <c r="I81" s="1099" t="n"/>
      <c r="J81" s="977" t="n"/>
      <c r="K81" s="977" t="n"/>
    </row>
    <row r="82" ht="29.25" customHeight="1" thickBot="1">
      <c r="B82" s="851" t="inlineStr">
        <is>
          <t>Flat No.</t>
        </is>
      </c>
      <c r="C82" s="851" t="inlineStr">
        <is>
          <t>Name of Owner</t>
        </is>
      </c>
      <c r="D82" s="851" t="inlineStr">
        <is>
          <t>CR SIDE</t>
        </is>
      </c>
      <c r="E82" s="849" t="inlineStr">
        <is>
          <t>Receipt of Registration Fees</t>
        </is>
      </c>
      <c r="F82" s="849" t="inlineStr">
        <is>
          <t>Payment of Reg Fees on Behalf of Client</t>
        </is>
      </c>
      <c r="G82" s="849" t="inlineStr">
        <is>
          <t>Receipt of stamp duty/JV (Cr)</t>
        </is>
      </c>
      <c r="H82" s="849" t="inlineStr">
        <is>
          <t>Payment of stamp duty on Behalf of Client / JV (Dr)</t>
        </is>
      </c>
      <c r="I82" s="849" t="inlineStr">
        <is>
          <t>REFUND OF SAME PEROID</t>
        </is>
      </c>
      <c r="J82" s="849" t="inlineStr">
        <is>
          <t>REFUNDABLE DEPOSIT</t>
        </is>
      </c>
      <c r="K82" s="301" t="inlineStr">
        <is>
          <t>REFUNDABLE DEPOSIT JV(Dr.)</t>
        </is>
      </c>
      <c r="L82" s="849" t="inlineStr">
        <is>
          <t>REFUND WITHOUT GST</t>
        </is>
      </c>
      <c r="M82" s="849" t="inlineStr">
        <is>
          <t>Cheque Return Amount</t>
        </is>
      </c>
      <c r="N82" s="301" t="inlineStr">
        <is>
          <t>Sale Deed JV</t>
        </is>
      </c>
      <c r="O82" s="301" t="inlineStr">
        <is>
          <t>PLC JV</t>
        </is>
      </c>
      <c r="P82" s="301" t="inlineStr">
        <is>
          <t>PLC Income</t>
        </is>
      </c>
      <c r="Q82" s="849" t="inlineStr">
        <is>
          <t>AEC,AUDA JV</t>
        </is>
      </c>
      <c r="R82" s="301" t="inlineStr">
        <is>
          <t>KASAR</t>
        </is>
      </c>
      <c r="S82" s="301" t="inlineStr">
        <is>
          <t>Loan transfer to new person ( credit side)</t>
        </is>
      </c>
      <c r="T82" s="301" t="inlineStr">
        <is>
          <t>Loan transfer from  old person ( Debit side)</t>
        </is>
      </c>
      <c r="U82" s="301" t="inlineStr">
        <is>
          <t>GST PAID @1% INSTEAD OF 18%</t>
        </is>
      </c>
      <c r="V82" s="849" t="inlineStr">
        <is>
          <t>NET RECEIPT</t>
        </is>
      </c>
    </row>
    <row r="83" ht="24.75" customFormat="1" customHeight="1" s="1">
      <c r="B83" s="632" t="inlineStr">
        <is>
          <t>Shop No. 412_After Bu</t>
        </is>
      </c>
      <c r="C83" s="351" t="inlineStr">
        <is>
          <t>SH-412  Chetak Kaku</t>
        </is>
      </c>
      <c r="D83" s="1101" t="n"/>
      <c r="E83" s="1101" t="n"/>
      <c r="F83" s="347">
        <f>+E83</f>
        <v/>
      </c>
      <c r="G83" s="347" t="n"/>
      <c r="H83" s="347">
        <f>+G83</f>
        <v/>
      </c>
      <c r="I83" s="347" t="n"/>
      <c r="J83" s="347" t="n"/>
      <c r="K83" s="347">
        <f>+J83</f>
        <v/>
      </c>
      <c r="L83" s="347" t="n">
        <v>1694177.35</v>
      </c>
      <c r="M83" s="370" t="n"/>
      <c r="N83" s="370" t="n"/>
      <c r="O83" s="370" t="n"/>
      <c r="P83" s="370" t="n"/>
      <c r="Q83" s="370" t="n"/>
      <c r="R83" s="370" t="n"/>
      <c r="S83" s="370" t="n"/>
      <c r="T83" s="370" t="n"/>
      <c r="U83" s="370" t="n"/>
      <c r="V83" s="347">
        <f>D83-E83-G83-J83</f>
        <v/>
      </c>
      <c r="W83" s="1102">
        <f>V83*2.5/100</f>
        <v/>
      </c>
      <c r="X83" s="1">
        <f>V83*2.5%</f>
        <v/>
      </c>
    </row>
    <row r="84" ht="14.25" customFormat="1" customHeight="1" s="1">
      <c r="B84" s="632" t="n"/>
      <c r="C84" s="351" t="n"/>
      <c r="D84" s="1101" t="n"/>
      <c r="E84" s="370" t="n"/>
      <c r="F84" s="347">
        <f>E84</f>
        <v/>
      </c>
      <c r="G84" s="347" t="n"/>
      <c r="H84" s="347">
        <f>G84</f>
        <v/>
      </c>
      <c r="I84" s="347" t="n"/>
      <c r="J84" s="347" t="n"/>
      <c r="K84" s="347">
        <f>J84</f>
        <v/>
      </c>
      <c r="L84" s="347" t="n"/>
      <c r="M84" s="347" t="n"/>
      <c r="N84" s="347" t="n"/>
      <c r="O84" s="347" t="n"/>
      <c r="P84" s="347" t="n"/>
      <c r="Q84" s="347" t="n"/>
      <c r="R84" s="347" t="n"/>
      <c r="S84" s="347" t="n"/>
      <c r="T84" s="347" t="n"/>
      <c r="U84" s="347" t="n"/>
      <c r="V84" s="347">
        <f>D84-E84-G84-J84</f>
        <v/>
      </c>
      <c r="W84" s="1102">
        <f>V84*2.5/100</f>
        <v/>
      </c>
      <c r="X84" s="1">
        <f>V84*2.5%</f>
        <v/>
      </c>
      <c r="AE84" s="1">
        <f>3095+3095</f>
        <v/>
      </c>
    </row>
    <row r="85" ht="14.25" customFormat="1" customHeight="1" s="1">
      <c r="B85" s="372" t="n"/>
      <c r="C85" s="351" t="n"/>
      <c r="D85" s="1101" t="n"/>
      <c r="E85" s="347" t="n"/>
      <c r="F85" s="347">
        <f>E85</f>
        <v/>
      </c>
      <c r="G85" s="347" t="n"/>
      <c r="H85" s="347">
        <f>G85</f>
        <v/>
      </c>
      <c r="I85" s="347" t="n"/>
      <c r="J85" s="347" t="n"/>
      <c r="K85" s="347">
        <f>J85</f>
        <v/>
      </c>
      <c r="L85" s="347" t="n"/>
      <c r="M85" s="347" t="n"/>
      <c r="N85" s="347" t="n"/>
      <c r="O85" s="347" t="n"/>
      <c r="P85" s="347" t="n"/>
      <c r="Q85" s="347" t="n"/>
      <c r="R85" s="347" t="n"/>
      <c r="S85" s="347" t="n"/>
      <c r="T85" s="347" t="n"/>
      <c r="U85" s="347" t="n"/>
      <c r="V85" s="347">
        <f>D85-E85-G85-J85</f>
        <v/>
      </c>
      <c r="W85" s="1102">
        <f>V85*2.5/100</f>
        <v/>
      </c>
      <c r="X85" s="1">
        <f>V85*2.5%</f>
        <v/>
      </c>
      <c r="AB85" s="1">
        <f>+AA85</f>
        <v/>
      </c>
    </row>
    <row r="86" ht="14.25" customFormat="1" customHeight="1" s="1">
      <c r="B86" s="372" t="n"/>
      <c r="C86" s="351" t="n"/>
      <c r="D86" s="1101" t="n"/>
      <c r="E86" s="347" t="n"/>
      <c r="F86" s="347">
        <f>E86</f>
        <v/>
      </c>
      <c r="G86" s="347" t="n"/>
      <c r="H86" s="347">
        <f>G86</f>
        <v/>
      </c>
      <c r="I86" s="347" t="n"/>
      <c r="J86" s="347" t="n"/>
      <c r="K86" s="347">
        <f>J86</f>
        <v/>
      </c>
      <c r="L86" s="347" t="n"/>
      <c r="M86" s="347" t="n"/>
      <c r="N86" s="347" t="n"/>
      <c r="O86" s="347" t="n"/>
      <c r="P86" s="347" t="n"/>
      <c r="Q86" s="347" t="n"/>
      <c r="R86" s="347" t="n"/>
      <c r="S86" s="347" t="n"/>
      <c r="T86" s="347" t="n"/>
      <c r="U86" s="347" t="n"/>
      <c r="V86" s="347">
        <f>D86-E86-G86-J86</f>
        <v/>
      </c>
      <c r="W86" s="1102">
        <f>V86*2.5/100</f>
        <v/>
      </c>
      <c r="X86" s="1">
        <f>V86*2.5%</f>
        <v/>
      </c>
      <c r="Y86" s="369" t="n"/>
    </row>
    <row r="87" ht="14.25" customFormat="1" customHeight="1" s="1">
      <c r="B87" s="372" t="n"/>
      <c r="C87" s="351" t="n"/>
      <c r="D87" s="1103" t="n"/>
      <c r="E87" s="347" t="n"/>
      <c r="F87" s="347">
        <f>E87</f>
        <v/>
      </c>
      <c r="G87" s="347" t="n"/>
      <c r="H87" s="347">
        <f>G87</f>
        <v/>
      </c>
      <c r="I87" s="347" t="n"/>
      <c r="J87" s="347" t="n"/>
      <c r="K87" s="347">
        <f>J87</f>
        <v/>
      </c>
      <c r="L87" s="347" t="n"/>
      <c r="M87" s="347" t="n"/>
      <c r="N87" s="347" t="n"/>
      <c r="O87" s="347" t="n"/>
      <c r="P87" s="347" t="n"/>
      <c r="Q87" s="347" t="n"/>
      <c r="R87" s="347" t="n"/>
      <c r="S87" s="347" t="n"/>
      <c r="T87" s="347" t="n"/>
      <c r="U87" s="347" t="n"/>
      <c r="V87" s="347">
        <f>D87-E87-G87-J87</f>
        <v/>
      </c>
      <c r="W87" s="1102">
        <f>V87*2.5/100</f>
        <v/>
      </c>
      <c r="X87" s="1">
        <f>V87*2.5%</f>
        <v/>
      </c>
      <c r="Y87" s="369" t="n"/>
      <c r="AE87" s="1">
        <f>6617+3248</f>
        <v/>
      </c>
    </row>
    <row r="88" ht="14.25" customFormat="1" customHeight="1" s="1">
      <c r="B88" s="372" t="n"/>
      <c r="C88" s="351" t="n"/>
      <c r="D88" s="1101" t="n"/>
      <c r="E88" s="347" t="n"/>
      <c r="F88" s="347">
        <f>E88</f>
        <v/>
      </c>
      <c r="G88" s="347" t="n"/>
      <c r="H88" s="347">
        <f>G88</f>
        <v/>
      </c>
      <c r="I88" s="347" t="n"/>
      <c r="J88" s="347" t="n"/>
      <c r="K88" s="347">
        <f>J88</f>
        <v/>
      </c>
      <c r="L88" s="347" t="n"/>
      <c r="M88" s="347" t="n"/>
      <c r="N88" s="347" t="n"/>
      <c r="O88" s="347" t="n"/>
      <c r="P88" s="347" t="n"/>
      <c r="Q88" s="347" t="n"/>
      <c r="R88" s="347" t="n"/>
      <c r="S88" s="347" t="n"/>
      <c r="T88" s="347" t="n"/>
      <c r="U88" s="347" t="n"/>
      <c r="V88" s="347">
        <f>D88-E88-G88-J88</f>
        <v/>
      </c>
      <c r="W88" s="1102">
        <f>V88*2.5/100</f>
        <v/>
      </c>
      <c r="X88" s="1">
        <f>V88*2.5%</f>
        <v/>
      </c>
      <c r="Y88" s="369" t="n"/>
    </row>
    <row r="89" ht="14.25" customFormat="1" customHeight="1" s="1">
      <c r="B89" s="372" t="n"/>
      <c r="C89" s="351" t="n"/>
      <c r="D89" s="1101" t="n"/>
      <c r="E89" s="347" t="n"/>
      <c r="F89" s="347">
        <f>E89</f>
        <v/>
      </c>
      <c r="G89" s="347" t="n"/>
      <c r="H89" s="347">
        <f>G89</f>
        <v/>
      </c>
      <c r="I89" s="347" t="n"/>
      <c r="J89" s="347" t="n"/>
      <c r="K89" s="347">
        <f>J89</f>
        <v/>
      </c>
      <c r="L89" s="347" t="n"/>
      <c r="M89" s="347" t="n"/>
      <c r="N89" s="347" t="n"/>
      <c r="O89" s="347" t="n"/>
      <c r="P89" s="347" t="n"/>
      <c r="Q89" s="347" t="n"/>
      <c r="R89" s="347" t="n"/>
      <c r="S89" s="347" t="n"/>
      <c r="T89" s="347" t="n"/>
      <c r="U89" s="347" t="n"/>
      <c r="V89" s="347">
        <f>D89-E89-G89-J89</f>
        <v/>
      </c>
      <c r="W89" s="1102">
        <f>V89*2.5/100</f>
        <v/>
      </c>
      <c r="X89" s="1">
        <f>V89*2.5%</f>
        <v/>
      </c>
      <c r="Y89" s="369" t="n"/>
    </row>
    <row r="90" ht="14.25" customFormat="1" customHeight="1" s="1">
      <c r="B90" s="8" t="n"/>
      <c r="C90" s="347" t="n"/>
      <c r="D90" s="347" t="n"/>
      <c r="E90" s="347" t="n"/>
      <c r="F90" s="347">
        <f>E90</f>
        <v/>
      </c>
      <c r="G90" s="347" t="n"/>
      <c r="H90" s="347">
        <f>G90</f>
        <v/>
      </c>
      <c r="I90" s="347" t="n"/>
      <c r="J90" s="347" t="n"/>
      <c r="K90" s="347">
        <f>J90</f>
        <v/>
      </c>
      <c r="L90" s="347" t="n"/>
      <c r="M90" s="347" t="n"/>
      <c r="N90" s="347" t="n"/>
      <c r="O90" s="347" t="n"/>
      <c r="P90" s="347" t="n"/>
      <c r="Q90" s="347" t="n"/>
      <c r="R90" s="347" t="n"/>
      <c r="S90" s="347" t="n"/>
      <c r="T90" s="347" t="n"/>
      <c r="U90" s="347" t="n"/>
      <c r="V90" s="347">
        <f>D90-E90-G90-J90</f>
        <v/>
      </c>
      <c r="W90" s="1102">
        <f>V90*2.5/100</f>
        <v/>
      </c>
      <c r="X90" s="1">
        <f>V90*2.5%</f>
        <v/>
      </c>
      <c r="Y90" s="369" t="n"/>
    </row>
    <row r="91" ht="14.25" customFormat="1" customHeight="1" s="1">
      <c r="B91" s="8" t="n"/>
      <c r="C91" s="347" t="n"/>
      <c r="D91" s="347" t="n"/>
      <c r="E91" s="347" t="n"/>
      <c r="F91" s="347">
        <f>E91</f>
        <v/>
      </c>
      <c r="G91" s="347" t="n"/>
      <c r="H91" s="347">
        <f>G91</f>
        <v/>
      </c>
      <c r="I91" s="347" t="n"/>
      <c r="J91" s="347" t="n"/>
      <c r="K91" s="347">
        <f>J91</f>
        <v/>
      </c>
      <c r="L91" s="347" t="n"/>
      <c r="M91" s="347" t="n"/>
      <c r="N91" s="347" t="n"/>
      <c r="O91" s="347" t="n"/>
      <c r="P91" s="347" t="n"/>
      <c r="Q91" s="347" t="n"/>
      <c r="R91" s="347" t="n"/>
      <c r="S91" s="347" t="n"/>
      <c r="T91" s="347" t="n"/>
      <c r="U91" s="347" t="n"/>
      <c r="V91" s="347">
        <f>D91-E91-G91-J91</f>
        <v/>
      </c>
      <c r="W91" s="1102">
        <f>V91*2.5/100</f>
        <v/>
      </c>
      <c r="X91" s="1">
        <f>V91*2.5%</f>
        <v/>
      </c>
      <c r="Y91" s="369" t="n"/>
    </row>
    <row r="92" ht="14.25" customFormat="1" customHeight="1" s="1">
      <c r="B92" s="8" t="n"/>
      <c r="C92" s="347" t="n"/>
      <c r="D92" s="347" t="n"/>
      <c r="E92" s="347" t="n"/>
      <c r="F92" s="347">
        <f>E92</f>
        <v/>
      </c>
      <c r="G92" s="347" t="n"/>
      <c r="H92" s="347">
        <f>G92</f>
        <v/>
      </c>
      <c r="I92" s="347" t="n"/>
      <c r="J92" s="347" t="n"/>
      <c r="K92" s="347">
        <f>J92</f>
        <v/>
      </c>
      <c r="L92" s="347" t="n"/>
      <c r="M92" s="347" t="n"/>
      <c r="N92" s="347" t="n"/>
      <c r="O92" s="347" t="n"/>
      <c r="P92" s="347" t="n"/>
      <c r="Q92" s="347" t="n"/>
      <c r="R92" s="347" t="n"/>
      <c r="S92" s="347" t="n"/>
      <c r="T92" s="347" t="n"/>
      <c r="U92" s="347" t="n"/>
      <c r="V92" s="347">
        <f>D92-E92-G92-J92</f>
        <v/>
      </c>
      <c r="W92" s="1102">
        <f>V92*2.5/100</f>
        <v/>
      </c>
      <c r="X92" s="1">
        <f>V92*2.5%</f>
        <v/>
      </c>
      <c r="Y92" s="369" t="n"/>
    </row>
    <row r="93" ht="14.25" customFormat="1" customHeight="1" s="1">
      <c r="B93" s="8" t="n"/>
      <c r="C93" s="347" t="n"/>
      <c r="D93" s="347" t="n"/>
      <c r="E93" s="347" t="n"/>
      <c r="F93" s="347">
        <f>E93</f>
        <v/>
      </c>
      <c r="G93" s="347" t="n"/>
      <c r="H93" s="347">
        <f>G93</f>
        <v/>
      </c>
      <c r="I93" s="347" t="n"/>
      <c r="J93" s="347" t="n"/>
      <c r="K93" s="347">
        <f>J93</f>
        <v/>
      </c>
      <c r="L93" s="347" t="n"/>
      <c r="M93" s="347" t="n"/>
      <c r="N93" s="347" t="n"/>
      <c r="O93" s="347" t="n"/>
      <c r="P93" s="347" t="n"/>
      <c r="Q93" s="347" t="n"/>
      <c r="R93" s="347" t="n"/>
      <c r="S93" s="347" t="n"/>
      <c r="T93" s="347" t="n"/>
      <c r="U93" s="347" t="n"/>
      <c r="V93" s="347">
        <f>D93-E93-G93-J93</f>
        <v/>
      </c>
      <c r="W93" s="1102">
        <f>V93*2.5/100</f>
        <v/>
      </c>
      <c r="X93" s="1">
        <f>V93*2.5%</f>
        <v/>
      </c>
      <c r="Y93" s="369" t="n"/>
    </row>
    <row r="94" ht="14.25" customFormat="1" customHeight="1" s="1">
      <c r="B94" s="8" t="n"/>
      <c r="C94" s="347" t="n"/>
      <c r="D94" s="347" t="n"/>
      <c r="E94" s="347" t="n"/>
      <c r="F94" s="347">
        <f>E94</f>
        <v/>
      </c>
      <c r="G94" s="347" t="n"/>
      <c r="H94" s="347">
        <f>G94</f>
        <v/>
      </c>
      <c r="I94" s="347" t="n"/>
      <c r="J94" s="347" t="n"/>
      <c r="K94" s="347">
        <f>J94</f>
        <v/>
      </c>
      <c r="L94" s="347" t="n"/>
      <c r="M94" s="347" t="n"/>
      <c r="N94" s="347" t="n"/>
      <c r="O94" s="347" t="n"/>
      <c r="P94" s="347" t="n"/>
      <c r="Q94" s="347" t="n"/>
      <c r="R94" s="347" t="n"/>
      <c r="S94" s="347" t="n"/>
      <c r="T94" s="347" t="n"/>
      <c r="U94" s="347" t="n"/>
      <c r="V94" s="347">
        <f>D94-E94-G94-J94</f>
        <v/>
      </c>
      <c r="W94" s="1102">
        <f>V94*2.5/100</f>
        <v/>
      </c>
      <c r="Y94" s="369" t="n"/>
    </row>
    <row r="95" ht="14.25" customFormat="1" customHeight="1" s="1">
      <c r="B95" s="8" t="n"/>
      <c r="C95" s="347" t="n"/>
      <c r="D95" s="347" t="n"/>
      <c r="E95" s="347" t="n"/>
      <c r="F95" s="347">
        <f>E95</f>
        <v/>
      </c>
      <c r="G95" s="347" t="n"/>
      <c r="H95" s="347" t="n"/>
      <c r="I95" s="347" t="n"/>
      <c r="J95" s="347" t="n"/>
      <c r="K95" s="347" t="n"/>
      <c r="L95" s="347" t="n"/>
      <c r="M95" s="347" t="n"/>
      <c r="N95" s="347" t="n"/>
      <c r="O95" s="347" t="n"/>
      <c r="P95" s="347" t="n"/>
      <c r="Q95" s="347" t="n"/>
      <c r="R95" s="347" t="n"/>
      <c r="S95" s="347" t="n"/>
      <c r="T95" s="347" t="n"/>
      <c r="U95" s="347" t="n"/>
      <c r="V95" s="347">
        <f>D95-E95-G95-J95</f>
        <v/>
      </c>
      <c r="W95" s="1102">
        <f>V95*2.5/100</f>
        <v/>
      </c>
      <c r="X95" s="1">
        <f>V95*2.5%</f>
        <v/>
      </c>
      <c r="Y95" s="369" t="n"/>
    </row>
    <row r="96" ht="14.25" customFormat="1" customHeight="1" s="1">
      <c r="B96" s="8" t="n"/>
      <c r="C96" s="347" t="n"/>
      <c r="D96" s="347" t="n"/>
      <c r="E96" s="347" t="n"/>
      <c r="F96" s="347" t="n"/>
      <c r="G96" s="347" t="n"/>
      <c r="H96" s="347" t="n"/>
      <c r="I96" s="347" t="n"/>
      <c r="J96" s="347" t="n"/>
      <c r="K96" s="347" t="n"/>
      <c r="L96" s="347" t="n"/>
      <c r="M96" s="347" t="n"/>
      <c r="N96" s="347" t="n"/>
      <c r="O96" s="347" t="n"/>
      <c r="P96" s="347" t="n"/>
      <c r="Q96" s="347" t="n"/>
      <c r="R96" s="347" t="n"/>
      <c r="S96" s="347" t="n"/>
      <c r="T96" s="347" t="n"/>
      <c r="U96" s="347" t="n"/>
      <c r="V96" s="347">
        <f>D96-E96-G96-J96</f>
        <v/>
      </c>
      <c r="W96" s="1102">
        <f>V96*2.5/100</f>
        <v/>
      </c>
      <c r="X96" s="1">
        <f>V96*2.5%</f>
        <v/>
      </c>
      <c r="Y96" s="369" t="n"/>
    </row>
    <row r="97" ht="14.25" customFormat="1" customHeight="1" s="1">
      <c r="B97" s="8" t="n"/>
      <c r="C97" s="347" t="n"/>
      <c r="D97" s="347" t="n"/>
      <c r="E97" s="347" t="n"/>
      <c r="F97" s="347" t="n"/>
      <c r="G97" s="347" t="n"/>
      <c r="H97" s="347" t="n"/>
      <c r="I97" s="347" t="n"/>
      <c r="J97" s="347" t="n"/>
      <c r="K97" s="347" t="n"/>
      <c r="L97" s="347" t="n"/>
      <c r="M97" s="347" t="n"/>
      <c r="N97" s="347" t="n"/>
      <c r="O97" s="347" t="n"/>
      <c r="P97" s="347" t="n"/>
      <c r="Q97" s="347" t="n"/>
      <c r="R97" s="347" t="n"/>
      <c r="S97" s="347" t="n"/>
      <c r="T97" s="347" t="n"/>
      <c r="U97" s="347" t="n"/>
      <c r="V97" s="347">
        <f>D97-E97-G97-J97</f>
        <v/>
      </c>
      <c r="W97" s="1102">
        <f>V97*2.5/100</f>
        <v/>
      </c>
      <c r="X97" s="1">
        <f>V97*2.5%</f>
        <v/>
      </c>
      <c r="Y97" s="369" t="n"/>
    </row>
    <row r="98" ht="14.25" customFormat="1" customHeight="1" s="1">
      <c r="B98" s="347" t="n"/>
      <c r="C98" s="442" t="n"/>
      <c r="D98" s="347" t="n"/>
      <c r="E98" s="347" t="n"/>
      <c r="F98" s="347">
        <f>+E98</f>
        <v/>
      </c>
      <c r="G98" s="347" t="n">
        <v>0</v>
      </c>
      <c r="H98" s="347">
        <f>+G98</f>
        <v/>
      </c>
      <c r="I98" s="347" t="n"/>
      <c r="J98" s="347" t="n"/>
      <c r="K98" s="347">
        <f>+J98</f>
        <v/>
      </c>
      <c r="L98" s="347" t="n"/>
      <c r="M98" s="347" t="n"/>
      <c r="N98" s="347" t="n"/>
      <c r="O98" s="347" t="n"/>
      <c r="P98" s="347" t="n"/>
      <c r="Q98" s="347" t="n"/>
      <c r="R98" s="347" t="n"/>
      <c r="S98" s="347" t="n"/>
      <c r="T98" s="347" t="n"/>
      <c r="U98" s="347" t="n"/>
      <c r="V98" s="347">
        <f>D98-E98-G98-J98</f>
        <v/>
      </c>
      <c r="W98" s="1102">
        <f>V98*2.5/100</f>
        <v/>
      </c>
      <c r="X98" s="1">
        <f>V98*2.5%</f>
        <v/>
      </c>
      <c r="Y98" s="369" t="n"/>
    </row>
    <row r="99" ht="14.25" customFormat="1" customHeight="1" s="1">
      <c r="B99" s="347" t="n"/>
      <c r="C99" s="442" t="n"/>
      <c r="D99" s="347" t="n"/>
      <c r="E99" s="347" t="n"/>
      <c r="F99" s="347">
        <f>+E99</f>
        <v/>
      </c>
      <c r="G99" s="347" t="n">
        <v>0</v>
      </c>
      <c r="H99" s="347">
        <f>+G99</f>
        <v/>
      </c>
      <c r="I99" s="347" t="n"/>
      <c r="J99" s="347" t="n"/>
      <c r="K99" s="347">
        <f>+J99</f>
        <v/>
      </c>
      <c r="L99" s="347" t="n"/>
      <c r="M99" s="347" t="n"/>
      <c r="N99" s="347" t="n"/>
      <c r="O99" s="347" t="n"/>
      <c r="P99" s="347" t="n"/>
      <c r="Q99" s="347" t="n"/>
      <c r="R99" s="347" t="n"/>
      <c r="S99" s="347" t="n"/>
      <c r="T99" s="347" t="n"/>
      <c r="U99" s="347" t="n"/>
      <c r="V99" s="347">
        <f>D99-E99-G99-J99</f>
        <v/>
      </c>
      <c r="W99" s="1102">
        <f>V99*2.5/100</f>
        <v/>
      </c>
      <c r="X99" s="1">
        <f>V99*2.5%</f>
        <v/>
      </c>
      <c r="Y99" s="369" t="n"/>
    </row>
    <row r="100" ht="14.25" customFormat="1" customHeight="1" s="1">
      <c r="B100" s="347" t="n"/>
      <c r="C100" s="442" t="n"/>
      <c r="D100" s="347" t="n"/>
      <c r="E100" s="347" t="n"/>
      <c r="F100" s="347">
        <f>+E100</f>
        <v/>
      </c>
      <c r="G100" s="347" t="n">
        <v>0</v>
      </c>
      <c r="H100" s="347">
        <f>+G100</f>
        <v/>
      </c>
      <c r="I100" s="347" t="n"/>
      <c r="J100" s="347" t="n"/>
      <c r="K100" s="347" t="n"/>
      <c r="L100" s="347" t="n"/>
      <c r="M100" s="347" t="n"/>
      <c r="N100" s="347" t="n"/>
      <c r="O100" s="347" t="n"/>
      <c r="P100" s="347" t="n"/>
      <c r="Q100" s="347" t="n"/>
      <c r="R100" s="347" t="n"/>
      <c r="S100" s="347" t="n"/>
      <c r="T100" s="347" t="n"/>
      <c r="U100" s="347" t="n"/>
      <c r="V100" s="347">
        <f>D100-E100-G100-J100</f>
        <v/>
      </c>
      <c r="W100" s="1102">
        <f>V100*2.5/100</f>
        <v/>
      </c>
      <c r="Y100" s="369" t="n"/>
    </row>
    <row r="101" ht="14.25" customFormat="1" customHeight="1" s="1">
      <c r="B101" s="347" t="n"/>
      <c r="C101" s="347" t="n"/>
      <c r="D101" s="347" t="n"/>
      <c r="E101" s="347" t="n"/>
      <c r="F101" s="347">
        <f>+E101</f>
        <v/>
      </c>
      <c r="G101" s="347" t="n">
        <v>0</v>
      </c>
      <c r="H101" s="347">
        <f>+G101</f>
        <v/>
      </c>
      <c r="I101" s="347" t="n"/>
      <c r="J101" s="347" t="n"/>
      <c r="K101" s="347" t="n"/>
      <c r="L101" s="347" t="n"/>
      <c r="M101" s="347" t="n"/>
      <c r="N101" s="347" t="n"/>
      <c r="O101" s="347" t="n"/>
      <c r="P101" s="347" t="n"/>
      <c r="Q101" s="347" t="n"/>
      <c r="R101" s="347" t="n"/>
      <c r="S101" s="347" t="n"/>
      <c r="T101" s="347" t="n"/>
      <c r="U101" s="347" t="n"/>
      <c r="V101" s="347">
        <f>D101-E101-G101-J101</f>
        <v/>
      </c>
      <c r="W101" s="1102">
        <f>V101*2.5/100</f>
        <v/>
      </c>
      <c r="X101" s="1">
        <f>V101*2.5%</f>
        <v/>
      </c>
      <c r="Y101" s="369" t="n"/>
    </row>
    <row r="102" ht="14.25" customFormat="1" customHeight="1" s="1">
      <c r="B102" s="347" t="n"/>
      <c r="C102" s="442" t="n"/>
      <c r="D102" s="347" t="n"/>
      <c r="E102" s="347" t="n"/>
      <c r="F102" s="347">
        <f>+E102</f>
        <v/>
      </c>
      <c r="G102" s="347" t="n">
        <v>0</v>
      </c>
      <c r="H102" s="347">
        <f>+G102</f>
        <v/>
      </c>
      <c r="I102" s="347" t="n"/>
      <c r="J102" s="347" t="n"/>
      <c r="K102" s="347" t="n"/>
      <c r="L102" s="347" t="n"/>
      <c r="M102" s="347" t="n"/>
      <c r="N102" s="347" t="n"/>
      <c r="O102" s="347" t="n"/>
      <c r="P102" s="347" t="n"/>
      <c r="Q102" s="347" t="n"/>
      <c r="R102" s="347" t="n"/>
      <c r="S102" s="347" t="n"/>
      <c r="T102" s="347" t="n"/>
      <c r="U102" s="347" t="n"/>
      <c r="V102" s="347">
        <f>D102-E102-G102-J102</f>
        <v/>
      </c>
      <c r="W102" s="1102">
        <f>V102*2.5/100</f>
        <v/>
      </c>
      <c r="X102" s="1">
        <f>V102*2.5%</f>
        <v/>
      </c>
      <c r="Y102" s="369" t="n"/>
    </row>
    <row r="103" customFormat="1" s="1" thickBot="1">
      <c r="B103" s="1110" t="n"/>
      <c r="C103" s="1110" t="n"/>
      <c r="D103" s="367" t="n"/>
      <c r="E103" s="368" t="n"/>
      <c r="F103" s="347" t="n"/>
      <c r="G103" s="347" t="n">
        <v>0</v>
      </c>
      <c r="H103" s="347">
        <f>+G103</f>
        <v/>
      </c>
      <c r="I103" s="347" t="n"/>
      <c r="J103" s="347" t="n"/>
      <c r="K103" s="347" t="n"/>
      <c r="L103" s="347" t="n"/>
      <c r="M103" s="347" t="n"/>
      <c r="N103" s="347" t="n"/>
      <c r="O103" s="347" t="n"/>
      <c r="P103" s="347" t="n"/>
      <c r="Q103" s="347" t="n"/>
      <c r="R103" s="347" t="n"/>
      <c r="S103" s="347" t="n"/>
      <c r="T103" s="347" t="n"/>
      <c r="U103" s="347" t="n"/>
      <c r="V103" s="347">
        <f>D103-E103-G103-J103</f>
        <v/>
      </c>
      <c r="W103" s="1102">
        <f>V103*2.5/100</f>
        <v/>
      </c>
    </row>
    <row r="104" ht="19.5" customHeight="1" thickBot="1">
      <c r="B104" s="904" t="inlineStr">
        <is>
          <t>Total</t>
        </is>
      </c>
      <c r="C104" s="303" t="n"/>
      <c r="D104" s="211">
        <f>SUM(D83:D103)</f>
        <v/>
      </c>
      <c r="E104" s="211">
        <f>SUM(E84:E103)</f>
        <v/>
      </c>
      <c r="F104" s="211">
        <f>SUM(F84:F103)</f>
        <v/>
      </c>
      <c r="G104" s="211">
        <f>SUM(G84:G103)</f>
        <v/>
      </c>
      <c r="H104" s="211">
        <f>SUM(H84:H103)</f>
        <v/>
      </c>
      <c r="I104" s="211">
        <f>SUM(I84:I103)</f>
        <v/>
      </c>
      <c r="J104" s="211">
        <f>SUM(J84:J103)</f>
        <v/>
      </c>
      <c r="K104" s="211">
        <f>SUM(K84:K103)</f>
        <v/>
      </c>
      <c r="L104" s="211">
        <f>SUM(L84:L103)</f>
        <v/>
      </c>
      <c r="M104" s="211">
        <f>SUM(M84:M103)</f>
        <v/>
      </c>
      <c r="N104" s="211">
        <f>SUM(N84:N103)</f>
        <v/>
      </c>
      <c r="O104" s="211">
        <f>SUM(O84:O103)</f>
        <v/>
      </c>
      <c r="P104" s="211">
        <f>SUM(P84:P103)</f>
        <v/>
      </c>
      <c r="Q104" s="211">
        <f>SUM(Q84:Q103)</f>
        <v/>
      </c>
      <c r="R104" s="211" t="n"/>
      <c r="S104" s="211" t="n"/>
      <c r="T104" s="211" t="n"/>
      <c r="U104" s="211" t="n"/>
      <c r="V104" s="211">
        <f>SUM(V83:V103)</f>
        <v/>
      </c>
      <c r="X104">
        <f>+V104*2.5/100</f>
        <v/>
      </c>
    </row>
    <row r="106" ht="17.25" customHeight="1">
      <c r="C106" s="1112" t="n"/>
      <c r="D106" s="1113">
        <f>D104+D66</f>
        <v/>
      </c>
      <c r="E106" s="287" t="n"/>
      <c r="I106" s="985" t="n"/>
      <c r="J106" s="985" t="n"/>
      <c r="K106" s="985" t="n"/>
    </row>
    <row r="107" ht="18.75" customHeight="1">
      <c r="C107" s="140" t="n"/>
      <c r="D107" s="140" t="n"/>
      <c r="E107" s="287" t="n"/>
      <c r="I107" s="985" t="n"/>
      <c r="J107" s="985" t="n"/>
      <c r="K107" s="985" t="n"/>
      <c r="N107" s="42" t="n"/>
      <c r="U107" s="1098" t="n"/>
    </row>
    <row r="108" ht="21.75" customHeight="1" thickBot="1">
      <c r="B108" s="1099" t="n"/>
      <c r="C108" s="1099" t="n"/>
      <c r="D108" s="1113" t="n"/>
      <c r="E108" s="287" t="n"/>
      <c r="I108" s="985" t="n"/>
      <c r="J108" s="985" t="n"/>
      <c r="K108" s="985" t="n"/>
    </row>
    <row r="109" ht="17.25" customHeight="1">
      <c r="B109" s="851" t="n"/>
      <c r="C109" s="851" t="n"/>
      <c r="D109" s="1113" t="n"/>
      <c r="E109" s="287" t="n"/>
      <c r="I109" s="985" t="n"/>
      <c r="J109" s="985" t="n"/>
      <c r="K109" s="985" t="n"/>
    </row>
    <row r="110" ht="17.25" customHeight="1">
      <c r="C110" s="985" t="n"/>
      <c r="D110" s="1113" t="n"/>
      <c r="E110" s="287" t="n"/>
      <c r="F110" s="1114" t="n"/>
      <c r="G110" s="1114" t="n"/>
      <c r="H110" s="1098" t="n"/>
    </row>
    <row r="111">
      <c r="G111" s="309" t="n"/>
    </row>
    <row r="112" ht="36" customHeight="1">
      <c r="B112">
        <f>+'SUN REALTY-CALC'!A119</f>
        <v/>
      </c>
      <c r="F112" s="1098" t="n"/>
      <c r="G112" s="1098" t="n"/>
      <c r="K112" s="310" t="n"/>
      <c r="L112" s="311" t="n"/>
    </row>
    <row r="114">
      <c r="F114" s="1098" t="n"/>
    </row>
    <row r="116">
      <c r="B116" s="312" t="n"/>
      <c r="C116" s="305" t="n"/>
    </row>
    <row r="119">
      <c r="B119" s="884" t="n"/>
    </row>
    <row r="120">
      <c r="C120" s="42" t="inlineStr">
        <is>
          <t>Member Collection of Sun Atmosphere Flats</t>
        </is>
      </c>
      <c r="D120" s="42" t="n"/>
      <c r="E120" s="313" t="n"/>
    </row>
    <row r="121">
      <c r="C121" t="inlineStr">
        <is>
          <t>Members'collection of Sun Atmospere Shops</t>
        </is>
      </c>
      <c r="Q121" s="312" t="n"/>
    </row>
  </sheetData>
  <mergeCells count="1">
    <mergeCell ref="B119:D119"/>
  </mergeCells>
  <pageMargins left="0.7" right="0.7" top="0.75" bottom="0.75" header="0.3" footer="0.3"/>
  <pageSetup orientation="portrait" paperSize="9" scale="47"/>
  <rowBreaks count="1" manualBreakCount="1">
    <brk id="80" min="1" max="8" man="1"/>
  </rowBreaks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V289"/>
  <sheetViews>
    <sheetView topLeftCell="S21" zoomScale="160" zoomScaleNormal="160" workbookViewId="0">
      <selection activeCell="U2" sqref="U2"/>
    </sheetView>
  </sheetViews>
  <sheetFormatPr baseColWidth="8" defaultRowHeight="15"/>
  <cols>
    <col width="51.42578125" bestFit="1" customWidth="1" min="2" max="2"/>
    <col width="9" bestFit="1" customWidth="1" min="3" max="3"/>
    <col width="45.28515625" bestFit="1" customWidth="1" min="11" max="11"/>
    <col width="11.28515625" bestFit="1" customWidth="1" min="12" max="12"/>
    <col width="66.5703125" bestFit="1" customWidth="1" min="15" max="15"/>
    <col width="13.42578125" bestFit="1" customWidth="1" min="16" max="16"/>
    <col width="51.42578125" bestFit="1" customWidth="1" min="18" max="18"/>
    <col width="7.28515625" customWidth="1" min="19" max="19"/>
    <col width="47.42578125" bestFit="1" customWidth="1" min="21" max="21"/>
    <col width="10.5703125" bestFit="1" customWidth="1" min="22" max="22"/>
  </cols>
  <sheetData>
    <row r="1">
      <c r="B1" s="42" t="inlineStr">
        <is>
          <t>DEPOSIT</t>
        </is>
      </c>
      <c r="C1" s="252" t="inlineStr">
        <is>
          <t>RS</t>
        </is>
      </c>
      <c r="F1" s="252" t="inlineStr">
        <is>
          <t>regis</t>
        </is>
      </c>
      <c r="O1" s="261" t="inlineStr">
        <is>
          <t>Reg Fees Axis</t>
        </is>
      </c>
      <c r="R1" s="261" t="inlineStr">
        <is>
          <t>Stamp Fees Axis</t>
        </is>
      </c>
      <c r="U1" s="261" t="inlineStr">
        <is>
          <t>Reg Fees JV</t>
        </is>
      </c>
    </row>
    <row r="2">
      <c r="B2" t="inlineStr">
        <is>
          <t>G-101, Darji Amit Gunvantbhai</t>
        </is>
      </c>
      <c r="C2" t="n">
        <v>30300</v>
      </c>
      <c r="F2" s="254" t="inlineStr">
        <is>
          <t>NAME</t>
        </is>
      </c>
      <c r="G2" s="254" t="inlineStr">
        <is>
          <t>DR</t>
        </is>
      </c>
      <c r="H2" s="254" t="inlineStr">
        <is>
          <t>CR</t>
        </is>
      </c>
      <c r="I2" s="254" t="inlineStr">
        <is>
          <t>NET</t>
        </is>
      </c>
      <c r="K2" s="255" t="inlineStr">
        <is>
          <t>A-1102,Dharman Gopalkumar Bhatt</t>
        </is>
      </c>
      <c r="L2" s="256" t="n">
        <v>930692</v>
      </c>
      <c r="O2" s="257" t="inlineStr">
        <is>
          <t>I-804,Anish Mahendra Bhatt &amp; Maya A.Bhatt</t>
        </is>
      </c>
      <c r="P2" s="1115" t="n">
        <v>32400</v>
      </c>
      <c r="R2" t="inlineStr">
        <is>
          <t>I-804,Anish Mahendra Bhatt &amp; Maya A.Bhatt</t>
        </is>
      </c>
      <c r="S2" t="n">
        <v>148600</v>
      </c>
      <c r="U2" t="inlineStr">
        <is>
          <t>I-401, Sumara Chitra</t>
        </is>
      </c>
      <c r="V2" t="n">
        <v>1714.75</v>
      </c>
    </row>
    <row r="3">
      <c r="B3" t="inlineStr">
        <is>
          <t>G-101, Darji Amit Gunvantbhai</t>
        </is>
      </c>
      <c r="C3" t="n">
        <v>50000</v>
      </c>
      <c r="F3" s="253" t="inlineStr">
        <is>
          <t>E-1104, Priyanka Yadav, Pradeep Yadav</t>
        </is>
      </c>
      <c r="G3" s="253" t="n">
        <v>0</v>
      </c>
      <c r="H3" s="253" t="n">
        <v>171744</v>
      </c>
      <c r="I3" s="253" t="n">
        <v>171744</v>
      </c>
      <c r="K3" s="255" t="inlineStr">
        <is>
          <t>A-1301, Aniruddha Dutta</t>
        </is>
      </c>
      <c r="L3" s="256" t="n">
        <v>42100</v>
      </c>
      <c r="O3" s="257" t="inlineStr">
        <is>
          <t>A-503; Kantibhai D.Chudasama</t>
        </is>
      </c>
      <c r="P3" s="1115" t="n">
        <v>42284</v>
      </c>
      <c r="R3" t="inlineStr">
        <is>
          <t>A-503; Kantibhai D.Chudasama</t>
        </is>
      </c>
      <c r="S3" t="n">
        <v>197400</v>
      </c>
      <c r="U3" t="inlineStr">
        <is>
          <t>I-201,Ajitbhai Kathi</t>
        </is>
      </c>
      <c r="V3" t="n">
        <v>1714.75</v>
      </c>
    </row>
    <row r="4">
      <c r="B4" t="inlineStr">
        <is>
          <t>H/1302,Yogesh Harikrishna Ardeshna</t>
        </is>
      </c>
      <c r="C4" t="n">
        <v>43000</v>
      </c>
      <c r="F4" s="253" t="inlineStr">
        <is>
          <t>I-401, Sumara Chitra</t>
        </is>
      </c>
      <c r="G4" s="253" t="n">
        <v>1714.75</v>
      </c>
      <c r="H4" s="253" t="n">
        <v>0</v>
      </c>
      <c r="I4" s="253" t="n">
        <v>-1714.75</v>
      </c>
      <c r="K4" s="255" t="inlineStr">
        <is>
          <t>A-1304, Palak Harshadkumar Popat</t>
        </is>
      </c>
      <c r="L4" s="256" t="n">
        <v>460310</v>
      </c>
      <c r="O4" s="257" t="inlineStr">
        <is>
          <t>K-501,Vivek Goad / Raksha Sharma</t>
        </is>
      </c>
      <c r="P4" s="1115" t="n">
        <v>2200</v>
      </c>
      <c r="R4" t="inlineStr">
        <is>
          <t>K-501,Vivek Goad / Raksha Sharma</t>
        </is>
      </c>
      <c r="S4" t="n">
        <v>215000</v>
      </c>
      <c r="U4" t="inlineStr">
        <is>
          <t>I-901, Shivam Thakur</t>
        </is>
      </c>
      <c r="V4" t="n">
        <v>1714.75</v>
      </c>
    </row>
    <row r="5">
      <c r="B5" t="inlineStr">
        <is>
          <t>H/1302,Yogesh Harikrishna Ardeshna</t>
        </is>
      </c>
      <c r="C5" t="n">
        <v>50000</v>
      </c>
      <c r="F5" s="253" t="inlineStr">
        <is>
          <t>I-201,Ajitbhai Kathi</t>
        </is>
      </c>
      <c r="G5" s="253" t="n">
        <v>1714.75</v>
      </c>
      <c r="H5" s="253" t="n">
        <v>0</v>
      </c>
      <c r="I5" s="253" t="n">
        <v>-1714.75</v>
      </c>
      <c r="K5" s="255" t="inlineStr">
        <is>
          <t>A-1404, Manisha Umang Chokshi &amp; Raj U. Chokshi</t>
        </is>
      </c>
      <c r="L5" s="256" t="n">
        <v>445544</v>
      </c>
      <c r="O5" s="257" t="inlineStr">
        <is>
          <t>P-704; Vishal Rajabhai Barad</t>
        </is>
      </c>
      <c r="P5" s="1115" t="n">
        <v>32000</v>
      </c>
      <c r="R5" t="inlineStr">
        <is>
          <t>P-704; Vishal Rajabhai Barad</t>
        </is>
      </c>
      <c r="S5" t="n">
        <v>149000</v>
      </c>
      <c r="U5" t="inlineStr">
        <is>
          <t>L-803, Haresh Zanzrukia</t>
        </is>
      </c>
      <c r="V5" t="n">
        <v>1714.75</v>
      </c>
    </row>
    <row r="6">
      <c r="B6" t="inlineStr">
        <is>
          <t>N-104, Shital Kalpeshbhai Ajmera</t>
        </is>
      </c>
      <c r="C6" t="n">
        <v>50000</v>
      </c>
      <c r="F6" s="253" t="inlineStr">
        <is>
          <t>I-901, Shivam Thakur</t>
        </is>
      </c>
      <c r="G6" s="253" t="n">
        <v>1714.75</v>
      </c>
      <c r="H6" s="253" t="n">
        <v>0</v>
      </c>
      <c r="I6" s="253" t="n">
        <v>-1714.75</v>
      </c>
      <c r="K6" s="255" t="inlineStr">
        <is>
          <t>A/204,Vipul Mistry</t>
        </is>
      </c>
      <c r="L6" s="256" t="n">
        <v>33976</v>
      </c>
      <c r="O6" s="257" t="inlineStr">
        <is>
          <t>L-1002,Nilesh Bhalchandra Yeole</t>
        </is>
      </c>
      <c r="P6" s="1115" t="n">
        <v>46000</v>
      </c>
      <c r="R6" t="inlineStr">
        <is>
          <t>L-1002,Nilesh Bhalchandra Yeole</t>
        </is>
      </c>
      <c r="S6" t="n">
        <v>217000</v>
      </c>
      <c r="U6" t="inlineStr">
        <is>
          <t>D-804, Neha Bhavin Shah / Bhavin Dipakbhai Shah</t>
        </is>
      </c>
      <c r="V6" t="n">
        <v>708.85</v>
      </c>
    </row>
    <row r="7">
      <c r="B7" t="inlineStr">
        <is>
          <t>N-104, Shital Kalpeshbhai Ajmera</t>
        </is>
      </c>
      <c r="C7" t="n">
        <v>139500</v>
      </c>
      <c r="F7" s="253" t="inlineStr">
        <is>
          <t>L-803, Haresh Zanzrukia</t>
        </is>
      </c>
      <c r="G7" s="253" t="n">
        <v>1714.75</v>
      </c>
      <c r="H7" s="253" t="n">
        <v>0</v>
      </c>
      <c r="I7" s="253" t="n">
        <v>-1714.75</v>
      </c>
      <c r="K7" s="255" t="inlineStr">
        <is>
          <t>A-304,Bhoomin Anantbhai Raval / Divya Bhoomin Raval</t>
        </is>
      </c>
      <c r="L7" s="256" t="n">
        <v>396040</v>
      </c>
      <c r="O7" s="257" t="inlineStr">
        <is>
          <t>P-304; Rupal Vishal Barad</t>
        </is>
      </c>
      <c r="P7" s="1115" t="n">
        <v>2200</v>
      </c>
      <c r="R7" t="inlineStr">
        <is>
          <t>P-304; Rupal Vishal Barad</t>
        </is>
      </c>
      <c r="S7" t="n">
        <v>149000</v>
      </c>
      <c r="U7" t="inlineStr">
        <is>
          <t>N-503, Yash Satwani / Kiran Satwani</t>
        </is>
      </c>
      <c r="V7" t="n">
        <v>708.85</v>
      </c>
    </row>
    <row r="8">
      <c r="B8" t="inlineStr">
        <is>
          <t>N-903, Krunal Pravinkumar Chudasma</t>
        </is>
      </c>
      <c r="C8" t="n">
        <v>45000</v>
      </c>
      <c r="F8" s="253" t="inlineStr">
        <is>
          <t>D-804, Neha Bhavin Shah / Bhavin Dipakbhai Shah</t>
        </is>
      </c>
      <c r="G8" s="253" t="n">
        <v>708.85</v>
      </c>
      <c r="H8" s="253" t="n">
        <v>0</v>
      </c>
      <c r="I8" s="253" t="n">
        <v>-708.85</v>
      </c>
      <c r="K8" s="255" t="inlineStr">
        <is>
          <t>A-502, Brajesh Kumar / Shalini Bhardwaj</t>
        </is>
      </c>
      <c r="L8" s="256" t="n">
        <v>661480</v>
      </c>
      <c r="O8" s="257" t="inlineStr">
        <is>
          <t>P-101, Rahul Ranjan</t>
        </is>
      </c>
      <c r="P8" s="1115" t="n">
        <v>36500</v>
      </c>
      <c r="R8" t="inlineStr">
        <is>
          <t>N-903, Krunal Pravinkumar Chudasma</t>
        </is>
      </c>
      <c r="S8" t="n">
        <v>211000</v>
      </c>
      <c r="U8" t="inlineStr">
        <is>
          <t>A-1404, Manisha Umang Chokshi &amp; Raj U. Chokshi</t>
        </is>
      </c>
      <c r="V8" t="n">
        <v>1714.75</v>
      </c>
    </row>
    <row r="9">
      <c r="B9" t="inlineStr">
        <is>
          <t>N-903, Krunal Pravinkumar Chudasma</t>
        </is>
      </c>
      <c r="C9" t="n">
        <v>50000</v>
      </c>
      <c r="F9" s="253" t="inlineStr">
        <is>
          <t>N-503, Yash Satwani / Kiran Satwani</t>
        </is>
      </c>
      <c r="G9" s="253" t="n">
        <v>708.85</v>
      </c>
      <c r="H9" s="253" t="n">
        <v>168400</v>
      </c>
      <c r="I9" s="253" t="n">
        <v>167691.15</v>
      </c>
      <c r="K9" s="255" t="inlineStr">
        <is>
          <t>A-503; Kantibhai D.Chudasama</t>
        </is>
      </c>
      <c r="L9" s="256" t="n">
        <v>761074</v>
      </c>
      <c r="O9" s="257" t="inlineStr">
        <is>
          <t>G-104, Daksha Rajeshbhai Darji</t>
        </is>
      </c>
      <c r="P9" s="1115" t="n">
        <v>32280</v>
      </c>
      <c r="R9" t="inlineStr">
        <is>
          <t>P-101, Rahul Ranjan</t>
        </is>
      </c>
      <c r="S9" t="n">
        <v>169000</v>
      </c>
      <c r="U9" t="inlineStr">
        <is>
          <t>B-903, Smita Bhavinkumar Dave</t>
        </is>
      </c>
      <c r="V9" t="n">
        <v>263667.7</v>
      </c>
    </row>
    <row r="10">
      <c r="B10" t="inlineStr">
        <is>
          <t>A/204,Vipul Mistry</t>
        </is>
      </c>
      <c r="C10" t="n">
        <v>50000</v>
      </c>
      <c r="F10" s="253" t="inlineStr">
        <is>
          <t>A-1404, Manisha Umang Chokshi &amp; Raj U. Chokshi</t>
        </is>
      </c>
      <c r="G10" s="253" t="n">
        <v>1714.75</v>
      </c>
      <c r="H10" s="253" t="n">
        <v>0</v>
      </c>
      <c r="I10" s="253" t="n">
        <v>-1714.75</v>
      </c>
      <c r="K10" s="255" t="inlineStr">
        <is>
          <t>A-604., Deepakkumar, Ruchika Arora</t>
        </is>
      </c>
      <c r="L10" s="256" t="n">
        <v>570121</v>
      </c>
      <c r="O10" s="257" t="inlineStr">
        <is>
          <t>O-502, Jay Rajeshkumar Shah</t>
        </is>
      </c>
      <c r="P10" s="1115" t="n">
        <v>42000</v>
      </c>
      <c r="R10" t="inlineStr">
        <is>
          <t>G-104, Daksha Rajeshbhai Darji</t>
        </is>
      </c>
      <c r="S10" t="n">
        <v>146000</v>
      </c>
      <c r="U10" t="inlineStr">
        <is>
          <t>C-1303, Vikas Jain / Anamika Jain</t>
        </is>
      </c>
      <c r="V10" t="n">
        <v>228769.7</v>
      </c>
    </row>
    <row r="11">
      <c r="B11" t="inlineStr">
        <is>
          <t>A-1102,Dharman Gopalkumar Bhatt</t>
        </is>
      </c>
      <c r="C11" t="n">
        <v>50000</v>
      </c>
      <c r="F11" s="253" t="inlineStr">
        <is>
          <t>I-804,Anish Mahendra Bhatt &amp; Maya A.Bhatt</t>
        </is>
      </c>
      <c r="G11" s="253" t="n">
        <v>0</v>
      </c>
      <c r="H11" s="253" t="n">
        <v>181000</v>
      </c>
      <c r="I11" s="253" t="n">
        <v>181000</v>
      </c>
      <c r="K11" s="255" t="inlineStr">
        <is>
          <t>A/701,Hemantkumar Ishwarlal Bhavsar</t>
        </is>
      </c>
      <c r="L11" s="256" t="n">
        <v>900098</v>
      </c>
      <c r="O11" s="257" t="inlineStr">
        <is>
          <t>D-401, Bhartiben Mukeshbhai Halari / Dhaval Halari</t>
        </is>
      </c>
      <c r="P11" s="1115" t="n">
        <v>42000</v>
      </c>
      <c r="R11" t="inlineStr">
        <is>
          <t>O-502, Jay Rajeshkumar Shah</t>
        </is>
      </c>
      <c r="S11" t="n">
        <v>197000</v>
      </c>
      <c r="U11" t="inlineStr">
        <is>
          <t>C/1304,Chetnaben Vallabhbhai Bavariya</t>
        </is>
      </c>
      <c r="V11" t="n">
        <v>182907.7</v>
      </c>
    </row>
    <row r="12">
      <c r="B12" t="inlineStr">
        <is>
          <t>A-1301, Aniruddha Dutta</t>
        </is>
      </c>
      <c r="C12" t="n">
        <v>50000</v>
      </c>
      <c r="F12" s="253" t="inlineStr">
        <is>
          <t>A-503; Kantibhai D.Chudasama</t>
        </is>
      </c>
      <c r="G12" s="253" t="n">
        <v>0</v>
      </c>
      <c r="H12" s="253" t="n">
        <v>239684</v>
      </c>
      <c r="I12" s="253" t="n">
        <v>239684</v>
      </c>
      <c r="K12" s="255" t="inlineStr">
        <is>
          <t>A/702,Hemantkumar Ishvarlal Bhavsar</t>
        </is>
      </c>
      <c r="L12" s="256" t="n">
        <v>900098</v>
      </c>
      <c r="O12" s="257" t="inlineStr">
        <is>
          <t>O-403,Jayesh Mansukhbhai Solanki</t>
        </is>
      </c>
      <c r="P12" s="1115" t="n">
        <v>37000</v>
      </c>
      <c r="R12" t="inlineStr">
        <is>
          <t>D-401, Bhartiben Mukeshbhai Halari / Dhaval Halari</t>
        </is>
      </c>
      <c r="S12" t="n">
        <v>197000</v>
      </c>
      <c r="U12" t="inlineStr">
        <is>
          <t>D-604, Kashyap Dave</t>
        </is>
      </c>
      <c r="V12" t="n">
        <v>205803.7</v>
      </c>
    </row>
    <row r="13">
      <c r="B13" t="inlineStr">
        <is>
          <t>A-1304, Palak Harshadkumar Popat</t>
        </is>
      </c>
      <c r="C13" t="n">
        <v>50000</v>
      </c>
      <c r="F13" s="253" t="inlineStr">
        <is>
          <t>K-501,Vivek Goad / Raksha Sharma</t>
        </is>
      </c>
      <c r="G13" s="253" t="n">
        <v>215332.7</v>
      </c>
      <c r="H13" s="253" t="n">
        <v>217200</v>
      </c>
      <c r="I13" s="253" t="n">
        <v>1867.299999999988</v>
      </c>
      <c r="K13" s="255" t="inlineStr">
        <is>
          <t>A-801; Ishwar S. Dubey</t>
        </is>
      </c>
      <c r="L13" s="256" t="n">
        <v>3165100</v>
      </c>
      <c r="O13" s="257" t="inlineStr">
        <is>
          <t>D-301,Rajesh Vithaldas Chokshi</t>
        </is>
      </c>
      <c r="P13" s="1115" t="n">
        <v>42000</v>
      </c>
      <c r="R13" t="inlineStr">
        <is>
          <t>O-403,Jayesh Mansukhbhai Solanki</t>
        </is>
      </c>
      <c r="S13" t="n">
        <v>172000</v>
      </c>
      <c r="U13" t="inlineStr">
        <is>
          <t>D-1403,Jay Adthakkar</t>
        </is>
      </c>
      <c r="V13" t="n">
        <v>186587.7</v>
      </c>
    </row>
    <row r="14">
      <c r="B14" t="inlineStr">
        <is>
          <t>A-502, Brajesh Kumar / Shalini Bhardwaj</t>
        </is>
      </c>
      <c r="C14" t="n">
        <v>50000</v>
      </c>
      <c r="F14" s="253" t="inlineStr">
        <is>
          <t>P-704; Vishal Rajabhai Barad</t>
        </is>
      </c>
      <c r="G14" s="253" t="n">
        <v>0</v>
      </c>
      <c r="H14" s="253" t="n">
        <v>181000</v>
      </c>
      <c r="I14" s="253" t="n">
        <v>181000</v>
      </c>
      <c r="K14" s="255" t="inlineStr">
        <is>
          <t>A-902, Puja Chudasama</t>
        </is>
      </c>
      <c r="L14" s="256" t="n">
        <v>37624</v>
      </c>
      <c r="O14" s="257" t="inlineStr">
        <is>
          <t>J-1003,Jagdish Pankajkumar Patel</t>
        </is>
      </c>
      <c r="P14" s="1115" t="n">
        <v>45000</v>
      </c>
      <c r="R14" t="inlineStr">
        <is>
          <t>D-301,Rajesh Vithaldas Chokshi</t>
        </is>
      </c>
      <c r="S14" t="n">
        <v>194000</v>
      </c>
      <c r="U14" t="inlineStr">
        <is>
          <t>F-203, Kalpesh Rohit Contractor &amp; Nency Contractor</t>
        </is>
      </c>
      <c r="V14" t="n">
        <v>174417.7</v>
      </c>
    </row>
    <row r="15">
      <c r="B15" t="inlineStr">
        <is>
          <t>A-503; Kantibhai D.Chudasama</t>
        </is>
      </c>
      <c r="C15" t="n">
        <v>50000</v>
      </c>
      <c r="F15" s="253" t="inlineStr">
        <is>
          <t>L-1002,Nilesh Bhalchandra Yeole</t>
        </is>
      </c>
      <c r="G15" s="253" t="n">
        <v>0</v>
      </c>
      <c r="H15" s="253" t="n">
        <v>263000</v>
      </c>
      <c r="I15" s="253" t="n">
        <v>263000</v>
      </c>
      <c r="K15" s="255" t="inlineStr">
        <is>
          <t>B/101, Ankur Sanghvi</t>
        </is>
      </c>
      <c r="L15" s="256" t="n">
        <v>39886</v>
      </c>
      <c r="O15" s="257" t="inlineStr">
        <is>
          <t>J-1101, Roopesh Kushwaha / Shefali Kushwaha</t>
        </is>
      </c>
      <c r="P15" s="1115" t="n">
        <v>42980</v>
      </c>
      <c r="R15" t="inlineStr">
        <is>
          <t>J-1003,Jagdish Pankajkumar Patel</t>
        </is>
      </c>
      <c r="S15" t="n">
        <v>211000</v>
      </c>
      <c r="U15" t="inlineStr">
        <is>
          <t>J-802, Rushabh Shah</t>
        </is>
      </c>
      <c r="V15" t="n">
        <v>231217.7</v>
      </c>
    </row>
    <row r="16">
      <c r="B16" t="inlineStr">
        <is>
          <t>A-604., Deepakkumar, Ruchika Arora</t>
        </is>
      </c>
      <c r="C16" t="n">
        <v>50000</v>
      </c>
      <c r="F16" s="253" t="inlineStr">
        <is>
          <t>P-304; Rupal Vishal Barad</t>
        </is>
      </c>
      <c r="G16" s="253" t="n">
        <v>0</v>
      </c>
      <c r="H16" s="253" t="n">
        <v>151200</v>
      </c>
      <c r="I16" s="253" t="n">
        <v>151200</v>
      </c>
      <c r="K16" s="255" t="inlineStr">
        <is>
          <t>B-1104, Manoj Sharma</t>
        </is>
      </c>
      <c r="L16" s="256" t="n">
        <v>42840</v>
      </c>
      <c r="O16" s="257" t="inlineStr">
        <is>
          <t>B-404,Roshan Ganpati Jha</t>
        </is>
      </c>
      <c r="P16" s="1115" t="n">
        <v>38500</v>
      </c>
      <c r="R16" t="inlineStr">
        <is>
          <t>J-1101, Roopesh Kushwaha / Shefali Kushwaha</t>
        </is>
      </c>
      <c r="S16" t="n">
        <v>200000</v>
      </c>
      <c r="U16" t="inlineStr">
        <is>
          <t>L-1101,Pratapsingh</t>
        </is>
      </c>
      <c r="V16" t="n">
        <v>260567.7</v>
      </c>
    </row>
    <row r="17">
      <c r="B17" t="inlineStr">
        <is>
          <t>A-801; Ishwar S. Dubey</t>
        </is>
      </c>
      <c r="C17" t="n">
        <v>50000</v>
      </c>
      <c r="F17" s="253" t="inlineStr">
        <is>
          <t>N-903, Krunal Pravinkumar Chudasma</t>
        </is>
      </c>
      <c r="G17" s="253" t="n">
        <v>0</v>
      </c>
      <c r="H17" s="253" t="n">
        <v>211000</v>
      </c>
      <c r="I17" s="253" t="n">
        <v>211000</v>
      </c>
      <c r="K17" s="255" t="inlineStr">
        <is>
          <t>B/1302 Karan Mehta</t>
        </is>
      </c>
      <c r="L17" s="256" t="n">
        <v>4950</v>
      </c>
      <c r="O17" s="257" t="inlineStr">
        <is>
          <t>N-302, Chetnaben Rathod</t>
        </is>
      </c>
      <c r="P17" s="1115" t="n">
        <v>2000</v>
      </c>
      <c r="R17" t="inlineStr">
        <is>
          <t>B-404,Roshan Ganpati Jha</t>
        </is>
      </c>
      <c r="S17" t="n">
        <v>180000</v>
      </c>
      <c r="U17" t="inlineStr">
        <is>
          <t>M-203,Lokesh Bansilal Kalal</t>
        </is>
      </c>
      <c r="V17" t="n">
        <v>218477.7</v>
      </c>
    </row>
    <row r="18">
      <c r="B18" t="inlineStr">
        <is>
          <t>A-902, Puja Chudasama</t>
        </is>
      </c>
      <c r="C18" t="n">
        <v>50000</v>
      </c>
      <c r="F18" s="253" t="inlineStr">
        <is>
          <t>P-101, Rahul Ranjan</t>
        </is>
      </c>
      <c r="G18" s="253" t="n">
        <v>203942.7</v>
      </c>
      <c r="H18" s="253" t="n">
        <v>205500</v>
      </c>
      <c r="I18" s="253" t="n">
        <v>1557.299999999988</v>
      </c>
      <c r="K18" s="255" t="inlineStr">
        <is>
          <t>B-1303,Manan M.Desai /Vandana M.Desai</t>
        </is>
      </c>
      <c r="L18" s="256" t="n">
        <v>6204</v>
      </c>
      <c r="O18" s="257" t="inlineStr">
        <is>
          <t>B-601,Chhayaben Tanmaykumar Vyas</t>
        </is>
      </c>
      <c r="P18" s="1115" t="n">
        <v>2200</v>
      </c>
      <c r="R18" t="inlineStr">
        <is>
          <t>N-302, Chetnaben Rathod</t>
        </is>
      </c>
      <c r="S18" t="n">
        <v>156500</v>
      </c>
      <c r="U18" t="inlineStr">
        <is>
          <t>M-303,Shital Satyen Sheth</t>
        </is>
      </c>
      <c r="V18" t="n">
        <v>176407.7</v>
      </c>
    </row>
    <row r="19">
      <c r="B19" t="inlineStr">
        <is>
          <t>B/101, Ankur Sanghvi</t>
        </is>
      </c>
      <c r="C19" t="n">
        <v>50000</v>
      </c>
      <c r="F19" s="253" t="inlineStr">
        <is>
          <t>G-104, Daksha Rajeshbhai Darji</t>
        </is>
      </c>
      <c r="G19" s="253" t="n">
        <v>0</v>
      </c>
      <c r="H19" s="253" t="n">
        <v>178280</v>
      </c>
      <c r="I19" s="253" t="n">
        <v>178280</v>
      </c>
      <c r="K19" s="255" t="inlineStr">
        <is>
          <t>B-404,Roshan Ganpati Jha</t>
        </is>
      </c>
      <c r="L19" s="256" t="n">
        <v>222396</v>
      </c>
      <c r="O19" s="257" t="inlineStr">
        <is>
          <t>J-1103, Zinkal Siddhath Kinariwala</t>
        </is>
      </c>
      <c r="P19" s="1115" t="n">
        <v>38500</v>
      </c>
      <c r="R19" t="inlineStr">
        <is>
          <t>B-601,Chhayaben Tanmaykumar Vyas</t>
        </is>
      </c>
      <c r="S19" t="n">
        <v>174000</v>
      </c>
      <c r="U19" t="inlineStr">
        <is>
          <t>M-803, Shital Satyen Sheth</t>
        </is>
      </c>
      <c r="V19" t="n">
        <v>176407.7</v>
      </c>
    </row>
    <row r="20">
      <c r="B20" t="inlineStr">
        <is>
          <t>B/1302 Karan Mehta</t>
        </is>
      </c>
      <c r="C20" t="n">
        <v>50000</v>
      </c>
      <c r="F20" s="253" t="inlineStr">
        <is>
          <t>O-502, Jay Rajeshkumar Shah</t>
        </is>
      </c>
      <c r="G20" s="253" t="n">
        <v>0</v>
      </c>
      <c r="H20" s="253" t="n">
        <v>239000</v>
      </c>
      <c r="I20" s="253" t="n">
        <v>239000</v>
      </c>
      <c r="K20" s="255" t="inlineStr">
        <is>
          <t>B/503 Kishor M Bhatia</t>
        </is>
      </c>
      <c r="L20" s="256" t="n">
        <v>383045</v>
      </c>
      <c r="O20" s="257" t="inlineStr">
        <is>
          <t>I-402, Rajeevkumar Pathak</t>
        </is>
      </c>
      <c r="P20" s="1115" t="n">
        <v>46500</v>
      </c>
      <c r="R20" t="inlineStr">
        <is>
          <t>J-1103, Zinkal Siddhath Kinariwala</t>
        </is>
      </c>
      <c r="S20" t="n">
        <v>179000</v>
      </c>
      <c r="U20" t="inlineStr">
        <is>
          <t>M/1004, Divya Tailor  &amp; Anurag Chhaparal</t>
        </is>
      </c>
      <c r="V20" t="n">
        <v>207352.7</v>
      </c>
    </row>
    <row r="21">
      <c r="B21" t="inlineStr">
        <is>
          <t>B/503 Kishor M Bhatia</t>
        </is>
      </c>
      <c r="C21" t="n">
        <v>50000</v>
      </c>
      <c r="F21" s="253" t="inlineStr">
        <is>
          <t>D-401, Bhartiben Mukeshbhai Halari / Dhaval Halari</t>
        </is>
      </c>
      <c r="G21" s="253" t="n">
        <v>0</v>
      </c>
      <c r="H21" s="253" t="n">
        <v>239000</v>
      </c>
      <c r="I21" s="253" t="n">
        <v>239000</v>
      </c>
      <c r="K21" s="255" t="inlineStr">
        <is>
          <t>B-601,Chhayaben Tanmaykumar Vyas</t>
        </is>
      </c>
      <c r="L21" s="256" t="n">
        <v>873066</v>
      </c>
      <c r="O21" s="257" t="inlineStr">
        <is>
          <t>P-204, Nikita Anil Bendre</t>
        </is>
      </c>
      <c r="P21" s="1115" t="n">
        <v>2200</v>
      </c>
      <c r="R21" t="inlineStr">
        <is>
          <t>I-402, Rajeevkumar Pathak</t>
        </is>
      </c>
      <c r="S21" t="n">
        <v>218000</v>
      </c>
      <c r="U21" t="inlineStr">
        <is>
          <t>K/802,Vipul Kulshrestha</t>
        </is>
      </c>
      <c r="V21" t="n">
        <v>260717.7</v>
      </c>
    </row>
    <row r="22">
      <c r="B22" t="inlineStr">
        <is>
          <t>B-1104, Manoj Sharma</t>
        </is>
      </c>
      <c r="C22" t="n">
        <v>50000</v>
      </c>
      <c r="F22" s="253" t="inlineStr">
        <is>
          <t>O-403,Jayesh Mansukhbhai Solanki</t>
        </is>
      </c>
      <c r="G22" s="253" t="n">
        <v>0</v>
      </c>
      <c r="H22" s="253" t="n">
        <v>209000</v>
      </c>
      <c r="I22" s="253" t="n">
        <v>209000</v>
      </c>
      <c r="K22" s="255" t="inlineStr">
        <is>
          <t>B-802, Alpesh Rambhai Khatri</t>
        </is>
      </c>
      <c r="L22" s="256" t="n">
        <v>157114</v>
      </c>
      <c r="O22" s="257" t="inlineStr">
        <is>
          <t>N-104, Shital Kalpeshbhai Ajmera</t>
        </is>
      </c>
      <c r="P22" s="1115" t="n">
        <v>2200</v>
      </c>
      <c r="R22" t="inlineStr">
        <is>
          <t>P-204, Nikita Anil Bendre</t>
        </is>
      </c>
      <c r="S22" t="n">
        <v>163500</v>
      </c>
      <c r="U22" t="inlineStr">
        <is>
          <t>K-104,Amogh Chitnis</t>
        </is>
      </c>
      <c r="V22" t="n">
        <v>207617.7</v>
      </c>
    </row>
    <row r="23">
      <c r="B23" t="inlineStr">
        <is>
          <t>B-1303,Manan M.Desai /Vandana M.Desai</t>
        </is>
      </c>
      <c r="C23" t="n">
        <v>50000</v>
      </c>
      <c r="F23" s="253" t="inlineStr">
        <is>
          <t>D-301,Rajesh Vithaldas Chokshi</t>
        </is>
      </c>
      <c r="G23" s="253" t="n">
        <v>0</v>
      </c>
      <c r="H23" s="253" t="n">
        <v>236000</v>
      </c>
      <c r="I23" s="253" t="n">
        <v>236000</v>
      </c>
      <c r="K23" s="255" t="inlineStr">
        <is>
          <t>B-901,Sameer Bhagvandas Somaya</t>
        </is>
      </c>
      <c r="L23" s="256" t="n">
        <v>1287130</v>
      </c>
      <c r="O23" s="257" t="inlineStr">
        <is>
          <t>K-202,Chinjal Lalitkumar Modi</t>
        </is>
      </c>
      <c r="P23" s="1115" t="n">
        <v>37000</v>
      </c>
      <c r="R23" t="inlineStr">
        <is>
          <t>K-202,Chinjal Lalitkumar Modi</t>
        </is>
      </c>
      <c r="S23" t="n">
        <v>171500</v>
      </c>
      <c r="U23" t="inlineStr">
        <is>
          <t>K,503 Ishwar Harjibhai Kanjariya</t>
        </is>
      </c>
      <c r="V23" t="n">
        <v>260717.7</v>
      </c>
    </row>
    <row r="24">
      <c r="B24" t="inlineStr">
        <is>
          <t>B-404,Roshan Ganpati Jha</t>
        </is>
      </c>
      <c r="C24" t="n">
        <v>50000</v>
      </c>
      <c r="F24" s="253" t="inlineStr">
        <is>
          <t>J-1003,Jagdish Pankajkumar Patel</t>
        </is>
      </c>
      <c r="G24" s="253" t="n">
        <v>0</v>
      </c>
      <c r="H24" s="253" t="n">
        <v>211000</v>
      </c>
      <c r="I24" s="253" t="n">
        <v>211000</v>
      </c>
      <c r="K24" s="255" t="inlineStr">
        <is>
          <t>B-903, Smita Bhavinkumar Dave</t>
        </is>
      </c>
      <c r="L24" s="256" t="n">
        <v>44060</v>
      </c>
      <c r="O24" s="257" t="inlineStr">
        <is>
          <t>G-1003, Parth Mathurbhai Dobariya</t>
        </is>
      </c>
      <c r="P24" s="1115" t="n">
        <v>34500</v>
      </c>
      <c r="R24" t="inlineStr">
        <is>
          <t>G-1003, Parth Mathurbhai Dobariya</t>
        </is>
      </c>
      <c r="S24" t="n">
        <v>160100</v>
      </c>
      <c r="U24" t="inlineStr">
        <is>
          <t>I-301 Ankit Dharmendra Jani</t>
        </is>
      </c>
      <c r="V24" t="n">
        <v>235187.7</v>
      </c>
    </row>
    <row r="25">
      <c r="B25" t="inlineStr">
        <is>
          <t>B-802, Alpesh Rambhai Khatri</t>
        </is>
      </c>
      <c r="C25" t="n">
        <v>50000</v>
      </c>
      <c r="F25" s="253" t="inlineStr">
        <is>
          <t>B-404,Roshan Ganpati Jha</t>
        </is>
      </c>
      <c r="G25" s="253" t="n">
        <v>0</v>
      </c>
      <c r="H25" s="253" t="n">
        <v>38500</v>
      </c>
      <c r="I25" s="253" t="n">
        <v>38500</v>
      </c>
      <c r="K25" s="255" t="inlineStr">
        <is>
          <t>C/1001 Divyeshkumar Navnitlal Panchal</t>
        </is>
      </c>
      <c r="L25" s="256" t="n">
        <v>101781</v>
      </c>
      <c r="O25" s="257" t="inlineStr">
        <is>
          <t>K-403,Mahesh Madhukar Bharambe</t>
        </is>
      </c>
      <c r="P25" s="1115" t="n">
        <v>42500</v>
      </c>
      <c r="R25" t="inlineStr">
        <is>
          <t>K-403,Mahesh Madhukar Bharambe</t>
        </is>
      </c>
      <c r="S25" t="n">
        <v>199000</v>
      </c>
      <c r="U25" t="inlineStr">
        <is>
          <t>I-304, Mehulsinh Ranilsinh Rajput</t>
        </is>
      </c>
      <c r="V25" t="n">
        <v>263667.7</v>
      </c>
    </row>
    <row r="26">
      <c r="B26" t="inlineStr">
        <is>
          <t>B-903, Smita Bhavinkumar Dave</t>
        </is>
      </c>
      <c r="C26" t="n">
        <v>50000</v>
      </c>
      <c r="F26" s="253" t="inlineStr">
        <is>
          <t>N-302, Chetnaben Rathod</t>
        </is>
      </c>
      <c r="G26" s="253" t="n">
        <v>0</v>
      </c>
      <c r="H26" s="253" t="n">
        <v>158500</v>
      </c>
      <c r="I26" s="253" t="n">
        <v>158500</v>
      </c>
      <c r="K26" s="255" t="inlineStr">
        <is>
          <t>C-1003,Rahul Pandya</t>
        </is>
      </c>
      <c r="L26" s="256" t="n">
        <v>43564</v>
      </c>
      <c r="O26" s="257" t="inlineStr">
        <is>
          <t>F-503, Sanjay Bhadra</t>
        </is>
      </c>
      <c r="P26" s="1115" t="n">
        <v>37366</v>
      </c>
      <c r="R26" t="inlineStr">
        <is>
          <t>F-503, Sanjay Bhadra</t>
        </is>
      </c>
      <c r="S26" t="n">
        <v>173300</v>
      </c>
      <c r="U26" t="inlineStr">
        <is>
          <t>F/1102,Meet Yogeshbhai Sheth</t>
        </is>
      </c>
      <c r="V26" t="n">
        <v>196742.7</v>
      </c>
    </row>
    <row r="27">
      <c r="B27" t="inlineStr">
        <is>
          <t>C/1001 Divyeshkumar Navnitlal Panchal</t>
        </is>
      </c>
      <c r="C27" t="n">
        <v>50000</v>
      </c>
      <c r="F27" s="253" t="inlineStr">
        <is>
          <t>B-601,Chhayaben Tanmaykumar Vyas</t>
        </is>
      </c>
      <c r="G27" s="253" t="n">
        <v>0</v>
      </c>
      <c r="H27" s="253" t="n">
        <v>176200</v>
      </c>
      <c r="I27" s="253" t="n">
        <v>176200</v>
      </c>
      <c r="K27" s="255" t="inlineStr">
        <is>
          <t>C-101, Shivam Thakore</t>
        </is>
      </c>
      <c r="L27" s="256" t="n">
        <v>667264</v>
      </c>
      <c r="O27" s="257" t="inlineStr">
        <is>
          <t>F-801,Ashokkumar M.Sonagara</t>
        </is>
      </c>
      <c r="P27" s="1115" t="n">
        <v>2200</v>
      </c>
      <c r="R27" t="inlineStr">
        <is>
          <t>F-801,Ashokkumar M.Sonagara</t>
        </is>
      </c>
      <c r="S27" t="n">
        <v>136000</v>
      </c>
      <c r="U27" t="inlineStr">
        <is>
          <t>P-101, Rahul Ranjan</t>
        </is>
      </c>
      <c r="V27" t="n">
        <v>203942.7</v>
      </c>
    </row>
    <row r="28">
      <c r="B28" t="inlineStr">
        <is>
          <t>C/503,Rajneesh Bakshi</t>
        </is>
      </c>
      <c r="C28" t="n">
        <v>50000</v>
      </c>
      <c r="F28" s="253" t="inlineStr">
        <is>
          <t>J-1103, Zinkal Siddhath Kinariwala</t>
        </is>
      </c>
      <c r="G28" s="253" t="n">
        <v>0</v>
      </c>
      <c r="H28" s="253" t="n">
        <v>217500</v>
      </c>
      <c r="I28" s="253" t="n">
        <v>217500</v>
      </c>
      <c r="K28" s="255" t="inlineStr">
        <is>
          <t>C-1103, Sima Jigar Desai /Jigar S.Desai</t>
        </is>
      </c>
      <c r="L28" s="256" t="n">
        <v>42610</v>
      </c>
      <c r="O28" s="257" t="inlineStr">
        <is>
          <t>C-1003,Rahul Pandya</t>
        </is>
      </c>
      <c r="P28" s="1115" t="n">
        <v>2000</v>
      </c>
      <c r="R28" t="inlineStr">
        <is>
          <t>C-1003,Rahul Pandya</t>
        </is>
      </c>
      <c r="S28" t="n">
        <v>215650</v>
      </c>
      <c r="U28" t="inlineStr">
        <is>
          <t>K-501,Vivek Goad / Raksha Sharma</t>
        </is>
      </c>
      <c r="V28" t="n">
        <v>215332.7</v>
      </c>
    </row>
    <row r="29">
      <c r="B29" t="inlineStr">
        <is>
          <t>C-1003,Rahul Pandya</t>
        </is>
      </c>
      <c r="C29" t="n">
        <v>50000</v>
      </c>
      <c r="F29" s="253" t="inlineStr">
        <is>
          <t>I-402, Rajeevkumar Pathak</t>
        </is>
      </c>
      <c r="G29" s="253" t="n">
        <v>0</v>
      </c>
      <c r="H29" s="253" t="n">
        <v>264500</v>
      </c>
      <c r="I29" s="253" t="n">
        <v>264500</v>
      </c>
      <c r="K29" s="255" t="inlineStr">
        <is>
          <t>C-1302,Chintankumar B. Patel</t>
        </is>
      </c>
      <c r="L29" s="256" t="n">
        <v>43578</v>
      </c>
      <c r="O29" s="257" t="inlineStr">
        <is>
          <t>K/802,Vipul Kulshrestha</t>
        </is>
      </c>
      <c r="P29" s="1115" t="n">
        <v>46000</v>
      </c>
      <c r="R29" t="inlineStr">
        <is>
          <t>K/802,Vipul Kulshrestha</t>
        </is>
      </c>
      <c r="S29" t="n">
        <v>215600</v>
      </c>
      <c r="U29" t="inlineStr">
        <is>
          <t>O-804,Rahulkumar Dharecha</t>
        </is>
      </c>
      <c r="V29" t="n">
        <v>204787.7</v>
      </c>
    </row>
    <row r="30">
      <c r="B30" t="inlineStr">
        <is>
          <t>C-101, Shivam Thakore</t>
        </is>
      </c>
      <c r="C30" t="n">
        <v>50000</v>
      </c>
      <c r="F30" s="253" t="inlineStr">
        <is>
          <t>P-204, Nikita Anil Bendre</t>
        </is>
      </c>
      <c r="G30" s="253" t="n">
        <v>0</v>
      </c>
      <c r="H30" s="253" t="n">
        <v>164700</v>
      </c>
      <c r="I30" s="253" t="n">
        <v>164700</v>
      </c>
      <c r="K30" s="255" t="inlineStr">
        <is>
          <t>C-1303, Ishit Anishkumar Mehta</t>
        </is>
      </c>
      <c r="L30" s="256" t="n">
        <v>-1693070</v>
      </c>
      <c r="O30" s="257" t="inlineStr">
        <is>
          <t>B/1302 Karan Mehta</t>
        </is>
      </c>
      <c r="P30" s="1115" t="n">
        <v>36000</v>
      </c>
      <c r="R30" t="inlineStr">
        <is>
          <t>B/1302 Karan Mehta</t>
        </is>
      </c>
      <c r="S30" t="n">
        <v>169000</v>
      </c>
      <c r="U30" t="inlineStr">
        <is>
          <t>B/1302 Karan Mehta</t>
        </is>
      </c>
      <c r="V30" t="n">
        <v>203587.7</v>
      </c>
    </row>
    <row r="31">
      <c r="B31" t="inlineStr">
        <is>
          <t>C-1103, Sima Jigar Desai /Jigar S.Desai</t>
        </is>
      </c>
      <c r="C31" t="n">
        <v>50000</v>
      </c>
      <c r="F31" s="253" t="inlineStr">
        <is>
          <t>N-104, Shital Kalpeshbhai Ajmera</t>
        </is>
      </c>
      <c r="G31" s="253" t="n">
        <v>0</v>
      </c>
      <c r="H31" s="253" t="n">
        <v>141700</v>
      </c>
      <c r="I31" s="253" t="n">
        <v>141700</v>
      </c>
      <c r="K31" s="255" t="inlineStr">
        <is>
          <t>C-1303, Vikas Jain / Anamika Jain</t>
        </is>
      </c>
      <c r="L31" s="256" t="n">
        <v>38201.99999999994</v>
      </c>
      <c r="O31" s="257" t="inlineStr">
        <is>
          <t>F-203, Kalpesh Rohit Contractor &amp; Nency Contractor</t>
        </is>
      </c>
      <c r="P31" s="1115" t="n">
        <v>2200</v>
      </c>
      <c r="R31" t="inlineStr">
        <is>
          <t>F-203, Kalpesh Rohit Contractor &amp; Nency Contractor</t>
        </is>
      </c>
      <c r="S31" t="n">
        <v>174000</v>
      </c>
      <c r="U31" t="inlineStr">
        <is>
          <t>E-303, Rajendrakumar M.Jobanputra</t>
        </is>
      </c>
      <c r="V31" t="n">
        <v>175112.7</v>
      </c>
    </row>
    <row r="32">
      <c r="B32" t="inlineStr">
        <is>
          <t>C-1303, Vikas Jain / Anamika Jain</t>
        </is>
      </c>
      <c r="C32" t="n">
        <v>50000</v>
      </c>
      <c r="F32" s="253" t="inlineStr">
        <is>
          <t>K-202,Chinjal Lalitkumar Modi</t>
        </is>
      </c>
      <c r="G32" s="253" t="n">
        <v>0</v>
      </c>
      <c r="H32" s="253" t="n">
        <v>208500</v>
      </c>
      <c r="I32" s="253" t="n">
        <v>208500</v>
      </c>
      <c r="K32" s="255" t="inlineStr">
        <is>
          <t>C/1304,Chetnaben Vallabhbhai Bavariya</t>
        </is>
      </c>
      <c r="L32" s="256" t="n">
        <v>36732</v>
      </c>
      <c r="O32" s="257" t="inlineStr">
        <is>
          <t>C-1103, Sima Jigar Desai /Jigar S.Desai</t>
        </is>
      </c>
      <c r="P32" s="1115" t="n">
        <v>45000</v>
      </c>
      <c r="R32" t="inlineStr">
        <is>
          <t>C-1103, Sima Jigar Desai /Jigar S.Desai</t>
        </is>
      </c>
      <c r="S32" t="n">
        <v>211000</v>
      </c>
      <c r="U32" t="inlineStr">
        <is>
          <t>H/1302,Yogesh Harikrishna Ardeshna</t>
        </is>
      </c>
      <c r="V32" t="n">
        <v>200908.85</v>
      </c>
    </row>
    <row r="33">
      <c r="B33" t="inlineStr">
        <is>
          <t>C-603,Umesh Shishivandan Pandya</t>
        </is>
      </c>
      <c r="C33" t="n">
        <v>50000</v>
      </c>
      <c r="F33" s="253" t="inlineStr">
        <is>
          <t>G-1003, Parth Mathurbhai Dobariya</t>
        </is>
      </c>
      <c r="G33" s="253" t="n">
        <v>0</v>
      </c>
      <c r="H33" s="253" t="n">
        <v>194600</v>
      </c>
      <c r="I33" s="253" t="n">
        <v>194600</v>
      </c>
      <c r="K33" s="255" t="inlineStr">
        <is>
          <t>C-204, Parin Rakeshkumar Bodiwala</t>
        </is>
      </c>
      <c r="L33" s="256" t="n">
        <v>575674</v>
      </c>
      <c r="O33" s="257" t="inlineStr">
        <is>
          <t>A-604., Deepakkumar, Ruchika Arora</t>
        </is>
      </c>
      <c r="P33" s="1115" t="n">
        <v>43000</v>
      </c>
      <c r="R33" t="inlineStr">
        <is>
          <t>A-604., Deepakkumar, Ruchika Arora</t>
        </is>
      </c>
      <c r="S33" t="n">
        <v>202000</v>
      </c>
    </row>
    <row r="34">
      <c r="B34" t="inlineStr">
        <is>
          <t>D/101, Parth Madaan</t>
        </is>
      </c>
      <c r="C34" t="n">
        <v>50000</v>
      </c>
      <c r="F34" s="253" t="inlineStr">
        <is>
          <t>K-403,Mahesh Madhukar Bharambe</t>
        </is>
      </c>
      <c r="G34" s="253" t="n">
        <v>0</v>
      </c>
      <c r="H34" s="253" t="n">
        <v>241500</v>
      </c>
      <c r="I34" s="253" t="n">
        <v>241500</v>
      </c>
      <c r="K34" s="255" t="inlineStr">
        <is>
          <t>C/502, Isha Nishant Bhavsar</t>
        </is>
      </c>
      <c r="L34" s="256" t="n">
        <v>592654</v>
      </c>
      <c r="O34" s="257" t="inlineStr">
        <is>
          <t>F-1003,Garima Rajawat &amp; Jaisingh Sisodia</t>
        </is>
      </c>
      <c r="P34" s="1115" t="n">
        <v>42000</v>
      </c>
      <c r="R34" t="inlineStr">
        <is>
          <t>F-1003,Garima Rajawat &amp; Jaisingh Sisodia</t>
        </is>
      </c>
      <c r="S34" t="n">
        <v>198000</v>
      </c>
    </row>
    <row r="35">
      <c r="B35" t="inlineStr">
        <is>
          <t>D/102 Disha Bhagya Dave</t>
        </is>
      </c>
      <c r="C35" t="n">
        <v>50000</v>
      </c>
      <c r="F35" s="253" t="inlineStr">
        <is>
          <t>F-503, Sanjay Bhadra</t>
        </is>
      </c>
      <c r="G35" s="253" t="n">
        <v>0</v>
      </c>
      <c r="H35" s="253" t="n">
        <v>210666</v>
      </c>
      <c r="I35" s="253" t="n">
        <v>210666</v>
      </c>
      <c r="K35" s="255" t="inlineStr">
        <is>
          <t>C/503,Rajneesh Bakshi</t>
        </is>
      </c>
      <c r="L35" s="256" t="n">
        <v>341319</v>
      </c>
      <c r="O35" s="257" t="inlineStr">
        <is>
          <t>M/502 Javankiaben Koradiya, Naresh Koradiya</t>
        </is>
      </c>
      <c r="P35" s="1115" t="n">
        <v>2200</v>
      </c>
      <c r="R35" t="inlineStr">
        <is>
          <t>M/502 Javankiaben Koradiya, Naresh Koradiya</t>
        </is>
      </c>
      <c r="S35" t="n">
        <v>169000</v>
      </c>
    </row>
    <row r="36">
      <c r="B36" t="inlineStr">
        <is>
          <t>D/1201 Shobhit Trapasiya</t>
        </is>
      </c>
      <c r="C36" t="n">
        <v>50000</v>
      </c>
      <c r="F36" s="253" t="inlineStr">
        <is>
          <t>F-801,Ashokkumar M.Sonagara</t>
        </is>
      </c>
      <c r="G36" s="253" t="n">
        <v>0</v>
      </c>
      <c r="H36" s="253" t="n">
        <v>138200</v>
      </c>
      <c r="I36" s="253" t="n">
        <v>138200</v>
      </c>
      <c r="K36" s="255" t="inlineStr">
        <is>
          <t>C-603,Umesh Shishivandan Pandya</t>
        </is>
      </c>
      <c r="L36" s="256" t="n">
        <v>617108</v>
      </c>
      <c r="O36" s="257" t="inlineStr">
        <is>
          <t>N-1103,Sumanta Bose</t>
        </is>
      </c>
      <c r="P36" s="1115" t="n">
        <v>40000</v>
      </c>
      <c r="R36" t="inlineStr">
        <is>
          <t>N-1103,Sumanta Bose</t>
        </is>
      </c>
      <c r="S36" t="n">
        <v>187000</v>
      </c>
    </row>
    <row r="37">
      <c r="B37" t="inlineStr">
        <is>
          <t>D-1002, Kishorsinh Anopsinh Jadeja</t>
        </is>
      </c>
      <c r="C37" t="n">
        <v>50000</v>
      </c>
      <c r="F37" s="253" t="inlineStr">
        <is>
          <t>C-1003,Rahul Pandya</t>
        </is>
      </c>
      <c r="G37" s="253" t="n">
        <v>0</v>
      </c>
      <c r="H37" s="253" t="n">
        <v>217650</v>
      </c>
      <c r="I37" s="253" t="n">
        <v>217650</v>
      </c>
      <c r="K37" s="255" t="inlineStr">
        <is>
          <t>C/702 Taraben Vasantlal Jain, Jain Amrita</t>
        </is>
      </c>
      <c r="L37" s="256" t="n">
        <v>825410</v>
      </c>
      <c r="O37" s="257" t="inlineStr">
        <is>
          <t>F-204, Jaxnikumar Naik</t>
        </is>
      </c>
      <c r="P37" s="1115" t="n">
        <v>30400</v>
      </c>
      <c r="R37" t="inlineStr">
        <is>
          <t>F-204, Jaxnikumar Naik</t>
        </is>
      </c>
      <c r="S37" t="n">
        <v>138400</v>
      </c>
    </row>
    <row r="38">
      <c r="B38" t="inlineStr">
        <is>
          <t>D-1204, Pravin Chaudhary &amp; Geeta Chaudhary</t>
        </is>
      </c>
      <c r="C38" t="n">
        <v>50000</v>
      </c>
      <c r="F38" s="253" t="inlineStr">
        <is>
          <t>K/802,Vipul Kulshrestha</t>
        </is>
      </c>
      <c r="G38" s="253" t="n">
        <v>260717.7</v>
      </c>
      <c r="H38" s="253" t="n">
        <v>261600</v>
      </c>
      <c r="I38" s="253" t="n">
        <v>882.2999999999884</v>
      </c>
      <c r="K38" s="255" t="inlineStr">
        <is>
          <t>C-901,Placement &amp; Consulting (Mohan Rohit)</t>
        </is>
      </c>
      <c r="L38" s="256" t="n">
        <v>-620436</v>
      </c>
      <c r="O38" s="257" t="inlineStr">
        <is>
          <t>K/203, Priteshkumar P.Upadhyay, Paresh U</t>
        </is>
      </c>
      <c r="P38" s="1115" t="n">
        <v>46000</v>
      </c>
      <c r="R38" t="inlineStr">
        <is>
          <t>K/203, Priteshkumar P.Upadhyay, Paresh U</t>
        </is>
      </c>
      <c r="S38" t="n">
        <v>215600</v>
      </c>
    </row>
    <row r="39">
      <c r="B39" t="inlineStr">
        <is>
          <t>D-1403,Jay Adthakkar</t>
        </is>
      </c>
      <c r="C39" t="n">
        <v>50000</v>
      </c>
      <c r="F39" s="253" t="inlineStr">
        <is>
          <t>B/1302 Karan Mehta</t>
        </is>
      </c>
      <c r="G39" s="253" t="n">
        <v>203587.7</v>
      </c>
      <c r="H39" s="253" t="n">
        <v>205000</v>
      </c>
      <c r="I39" s="253" t="n">
        <v>1412.299999999988</v>
      </c>
      <c r="K39" s="255" t="inlineStr">
        <is>
          <t>D-1002, Kishorsinh Anopsinh Jadeja</t>
        </is>
      </c>
      <c r="L39" s="256" t="n">
        <v>611086</v>
      </c>
      <c r="O39" s="257" t="inlineStr">
        <is>
          <t>P-603, Rakesh Rathod</t>
        </is>
      </c>
      <c r="P39" s="1115" t="n">
        <v>45500</v>
      </c>
      <c r="R39" t="inlineStr">
        <is>
          <t>P-603, Rakesh Rathod</t>
        </is>
      </c>
      <c r="S39" t="n">
        <v>215500</v>
      </c>
    </row>
    <row r="40">
      <c r="B40" t="inlineStr">
        <is>
          <t>D-301,Rajesh Vithaldas Chokshi</t>
        </is>
      </c>
      <c r="C40" t="n">
        <v>50000</v>
      </c>
      <c r="F40" s="253" t="inlineStr">
        <is>
          <t>F-203, Kalpesh Rohit Contractor &amp; Nency Contractor</t>
        </is>
      </c>
      <c r="G40" s="253" t="n">
        <v>174417.7</v>
      </c>
      <c r="H40" s="253" t="n">
        <v>176200</v>
      </c>
      <c r="I40" s="253" t="n">
        <v>1782.299999999988</v>
      </c>
      <c r="K40" s="255" t="inlineStr">
        <is>
          <t>D/101, Parth Madaan</t>
        </is>
      </c>
      <c r="L40" s="256" t="n">
        <v>565798</v>
      </c>
      <c r="O40" s="257" t="inlineStr">
        <is>
          <t>D-604, Kashyap Dave</t>
        </is>
      </c>
      <c r="P40" s="1115" t="n">
        <v>36500</v>
      </c>
      <c r="R40" t="inlineStr">
        <is>
          <t>O-804,Rahulkumar Dharecha</t>
        </is>
      </c>
      <c r="S40" t="n">
        <v>170000</v>
      </c>
    </row>
    <row r="41">
      <c r="B41" t="inlineStr">
        <is>
          <t>D-304,Jinish Chimanbhai Patel</t>
        </is>
      </c>
      <c r="C41" t="n">
        <v>50000</v>
      </c>
      <c r="F41" s="253" t="inlineStr">
        <is>
          <t>C-1103, Sima Jigar Desai /Jigar S.Desai</t>
        </is>
      </c>
      <c r="G41" s="253" t="n">
        <v>0</v>
      </c>
      <c r="H41" s="253" t="n">
        <v>256000</v>
      </c>
      <c r="I41" s="253" t="n">
        <v>256000</v>
      </c>
      <c r="K41" s="255" t="inlineStr">
        <is>
          <t>D/102 Disha Bhagya Dave</t>
        </is>
      </c>
      <c r="L41" s="256" t="n">
        <v>38664</v>
      </c>
      <c r="O41" s="257" t="inlineStr">
        <is>
          <t>O-804,Rahulkumar Dharecha</t>
        </is>
      </c>
      <c r="P41" s="1115" t="n">
        <v>36500</v>
      </c>
      <c r="R41" t="inlineStr">
        <is>
          <t>M/1004, Divya Tailor  &amp; Anurag Chhaparal</t>
        </is>
      </c>
      <c r="S41" t="n">
        <v>171300</v>
      </c>
    </row>
    <row r="42">
      <c r="B42" t="inlineStr">
        <is>
          <t>D-401, Bhartiben Mukeshbhai Halari / Dhaval Halari</t>
        </is>
      </c>
      <c r="C42" t="n">
        <v>50000</v>
      </c>
      <c r="F42" s="253" t="inlineStr">
        <is>
          <t>A-604., Deepakkumar, Ruchika Arora</t>
        </is>
      </c>
      <c r="G42" s="253" t="n">
        <v>0</v>
      </c>
      <c r="H42" s="253" t="n">
        <v>245000</v>
      </c>
      <c r="I42" s="253" t="n">
        <v>245000</v>
      </c>
      <c r="K42" s="255" t="inlineStr">
        <is>
          <t>D/1201 Shobhit Trapasiya</t>
        </is>
      </c>
      <c r="L42" s="256" t="n">
        <v>302539</v>
      </c>
      <c r="O42" s="257" t="inlineStr">
        <is>
          <t>M/1004, Divya Tailor  &amp; Anurag Chhaparal</t>
        </is>
      </c>
      <c r="P42" s="1115" t="n">
        <v>37000</v>
      </c>
      <c r="R42" t="inlineStr">
        <is>
          <t>P-904, Niruben Soni, Mohit Soni</t>
        </is>
      </c>
      <c r="S42" t="n">
        <v>196000</v>
      </c>
    </row>
    <row r="43">
      <c r="B43" t="inlineStr">
        <is>
          <t>D-604, Kashyap Dave</t>
        </is>
      </c>
      <c r="C43" t="n">
        <v>50000</v>
      </c>
      <c r="F43" s="253" t="inlineStr">
        <is>
          <t>F-1003,Garima Rajawat &amp; Jaisingh Sisodia</t>
        </is>
      </c>
      <c r="G43" s="253" t="n">
        <v>0</v>
      </c>
      <c r="H43" s="253" t="n">
        <v>240000</v>
      </c>
      <c r="I43" s="253" t="n">
        <v>240000</v>
      </c>
      <c r="K43" s="255" t="inlineStr">
        <is>
          <t>D-1204, Pravin Chaudhary &amp; Geeta Chaudhary</t>
        </is>
      </c>
      <c r="L43" s="256" t="n">
        <v>34546</v>
      </c>
      <c r="O43" s="257" t="inlineStr">
        <is>
          <t>P-904, Niruben Soni, Mohit Soni</t>
        </is>
      </c>
      <c r="P43" s="1115" t="n">
        <v>42000</v>
      </c>
      <c r="R43" t="inlineStr">
        <is>
          <t>P-503, Shekhar Mudaliar</t>
        </is>
      </c>
      <c r="S43" t="n">
        <v>180000</v>
      </c>
    </row>
    <row r="44">
      <c r="B44" t="inlineStr">
        <is>
          <t>D-902, Bhavna Vijay Jadav</t>
        </is>
      </c>
      <c r="C44" t="n">
        <v>50000</v>
      </c>
      <c r="F44" s="253" t="inlineStr">
        <is>
          <t>M/502 Javankiaben Koradiya, Naresh Koradiya</t>
        </is>
      </c>
      <c r="G44" s="253" t="n">
        <v>0</v>
      </c>
      <c r="H44" s="253" t="n">
        <v>171200</v>
      </c>
      <c r="I44" s="253" t="n">
        <v>171200</v>
      </c>
      <c r="K44" s="255" t="inlineStr">
        <is>
          <t>D-1303, Bharatkumar Khemnani</t>
        </is>
      </c>
      <c r="L44" s="256" t="n">
        <v>990100</v>
      </c>
      <c r="O44" s="257" t="inlineStr">
        <is>
          <t>P-503, Shekhar Mudaliar</t>
        </is>
      </c>
      <c r="P44" s="1115" t="n">
        <v>38700</v>
      </c>
      <c r="R44" t="inlineStr">
        <is>
          <t>L-502, Shalabh Kaushik</t>
        </is>
      </c>
      <c r="S44" t="n">
        <v>219000</v>
      </c>
    </row>
    <row r="45">
      <c r="B45" t="inlineStr">
        <is>
          <t>D-904, Parth Dipakbhai Solanki</t>
        </is>
      </c>
      <c r="C45" t="n">
        <v>50000</v>
      </c>
      <c r="F45" s="253" t="inlineStr">
        <is>
          <t>N-1103,Sumanta Bose</t>
        </is>
      </c>
      <c r="G45" s="253" t="n">
        <v>0</v>
      </c>
      <c r="H45" s="253" t="n">
        <v>227000</v>
      </c>
      <c r="I45" s="253" t="n">
        <v>227000</v>
      </c>
      <c r="K45" s="255" t="inlineStr">
        <is>
          <t>D-1402, Deepika Rajkumar Satpute</t>
        </is>
      </c>
      <c r="L45" s="256" t="n">
        <v>445546</v>
      </c>
      <c r="O45" s="257" t="inlineStr">
        <is>
          <t>L-502, Shalabh Kaushik</t>
        </is>
      </c>
      <c r="P45" s="1115" t="n">
        <v>2200</v>
      </c>
      <c r="R45" t="inlineStr">
        <is>
          <t>G-1004, Sandeep Popat</t>
        </is>
      </c>
      <c r="S45" t="n">
        <v>140000</v>
      </c>
    </row>
    <row r="46">
      <c r="B46" t="inlineStr">
        <is>
          <t>E-1001, Mrudang Nimishbhai Fulwala</t>
        </is>
      </c>
      <c r="C46" t="n">
        <v>50000</v>
      </c>
      <c r="F46" s="253" t="inlineStr">
        <is>
          <t>F-204, Jaxnikumar Naik</t>
        </is>
      </c>
      <c r="G46" s="253" t="n">
        <v>0</v>
      </c>
      <c r="H46" s="253" t="n">
        <v>168800</v>
      </c>
      <c r="I46" s="253" t="n">
        <v>168800</v>
      </c>
      <c r="K46" s="255" t="inlineStr">
        <is>
          <t>D-1403,Jay Adthakkar</t>
        </is>
      </c>
      <c r="L46" s="256" t="n">
        <v>31121</v>
      </c>
      <c r="O46" s="257" t="inlineStr">
        <is>
          <t>G-1004, Sandeep Popat</t>
        </is>
      </c>
      <c r="P46" s="1115" t="n">
        <v>30500</v>
      </c>
      <c r="R46" t="inlineStr">
        <is>
          <t>B-903, Smita Bhavinkumar Dave</t>
        </is>
      </c>
      <c r="S46" t="n">
        <v>218060</v>
      </c>
    </row>
    <row r="47">
      <c r="B47" t="inlineStr">
        <is>
          <t>E-101,Abhishek Dubey</t>
        </is>
      </c>
      <c r="C47" t="n">
        <v>50000</v>
      </c>
      <c r="F47" s="253" t="inlineStr">
        <is>
          <t>K/203, Priteshkumar P.Upadhyay, Paresh U</t>
        </is>
      </c>
      <c r="G47" s="253" t="n">
        <v>0</v>
      </c>
      <c r="H47" s="253" t="n">
        <v>261600</v>
      </c>
      <c r="I47" s="253" t="n">
        <v>261600</v>
      </c>
      <c r="K47" s="255" t="inlineStr">
        <is>
          <t>D-301,Rajesh Vithaldas Chokshi</t>
        </is>
      </c>
      <c r="L47" s="256" t="n">
        <v>528234</v>
      </c>
      <c r="O47" s="257" t="inlineStr">
        <is>
          <t>B-903, Smita Bhavinkumar Dave</t>
        </is>
      </c>
      <c r="P47" s="1115" t="n">
        <v>46500</v>
      </c>
      <c r="R47" t="inlineStr">
        <is>
          <t>O-102. Varshaben Jagdishkumar Parmar</t>
        </is>
      </c>
      <c r="S47" t="n">
        <v>139000</v>
      </c>
    </row>
    <row r="48">
      <c r="B48" t="inlineStr">
        <is>
          <t>E-102,Rajubhai Gohel</t>
        </is>
      </c>
      <c r="C48" t="n">
        <v>50000</v>
      </c>
      <c r="F48" s="253" t="inlineStr">
        <is>
          <t>P-603, Rakesh Rathod</t>
        </is>
      </c>
      <c r="G48" s="253" t="n">
        <v>0</v>
      </c>
      <c r="H48" s="253" t="n">
        <v>261000</v>
      </c>
      <c r="I48" s="253" t="n">
        <v>261000</v>
      </c>
      <c r="K48" s="255" t="inlineStr">
        <is>
          <t>D-304,Jinish Chimanbhai Patel</t>
        </is>
      </c>
      <c r="L48" s="256" t="n">
        <v>38664</v>
      </c>
      <c r="O48" s="257" t="inlineStr">
        <is>
          <t>O-102. Varshaben Jagdishkumar Parmar</t>
        </is>
      </c>
      <c r="P48" s="1115" t="n">
        <v>2200</v>
      </c>
      <c r="R48" t="inlineStr">
        <is>
          <t>D-902, Bhavna Vijay Jadav</t>
        </is>
      </c>
      <c r="S48" t="n">
        <v>169000</v>
      </c>
    </row>
    <row r="49">
      <c r="B49" t="inlineStr">
        <is>
          <t>E-1104, Priyanka Yadav, Pradeep Yadav</t>
        </is>
      </c>
      <c r="C49" t="n">
        <v>50000</v>
      </c>
      <c r="F49" s="253" t="inlineStr">
        <is>
          <t>D-604, Kashyap Dave</t>
        </is>
      </c>
      <c r="G49" s="253" t="n">
        <v>205803.7</v>
      </c>
      <c r="H49" s="253" t="n">
        <v>206500</v>
      </c>
      <c r="I49" s="253" t="n">
        <v>696.2999999999884</v>
      </c>
      <c r="K49" s="255" t="inlineStr">
        <is>
          <t>D-401, Bhartiben Mukeshbhai Halari / Dhaval Halari</t>
        </is>
      </c>
      <c r="L49" s="256" t="n">
        <v>435644</v>
      </c>
      <c r="O49" s="257" t="inlineStr">
        <is>
          <t>D-902, Bhavna Vijay Jadav</t>
        </is>
      </c>
      <c r="P49" s="1115" t="n">
        <v>36500</v>
      </c>
      <c r="R49" t="inlineStr">
        <is>
          <t>O-1202, Jay Chandrakant Shah</t>
        </is>
      </c>
      <c r="S49" t="n">
        <v>205000</v>
      </c>
    </row>
    <row r="50">
      <c r="B50" t="inlineStr">
        <is>
          <t>E-1202, Riya Murawat</t>
        </is>
      </c>
      <c r="C50" t="n">
        <v>50000</v>
      </c>
      <c r="F50" s="253" t="inlineStr">
        <is>
          <t>O-804,Rahulkumar Dharecha</t>
        </is>
      </c>
      <c r="G50" s="253" t="n">
        <v>204787.7</v>
      </c>
      <c r="H50" s="253" t="n">
        <v>206500</v>
      </c>
      <c r="I50" s="253" t="n">
        <v>1712.299999999988</v>
      </c>
      <c r="K50" s="255" t="inlineStr">
        <is>
          <t>D-604, Kashyap Dave</t>
        </is>
      </c>
      <c r="L50" s="256" t="n">
        <v>34347</v>
      </c>
      <c r="O50" s="257" t="inlineStr">
        <is>
          <t>O-1202, Jay Chandrakant Shah</t>
        </is>
      </c>
      <c r="P50" s="1115" t="n">
        <v>43500</v>
      </c>
      <c r="R50" t="inlineStr">
        <is>
          <t>P-1002,Brajeshkumar Malaviya</t>
        </is>
      </c>
      <c r="S50" t="n">
        <v>185050</v>
      </c>
    </row>
    <row r="51">
      <c r="B51" t="inlineStr">
        <is>
          <t>E-301, Vikramkumar</t>
        </is>
      </c>
      <c r="C51" t="n">
        <v>50000</v>
      </c>
      <c r="F51" s="253" t="inlineStr">
        <is>
          <t>M/1004, Divya Tailor  &amp; Anurag Chhaparal</t>
        </is>
      </c>
      <c r="G51" s="253" t="n">
        <v>207352.7</v>
      </c>
      <c r="H51" s="253" t="n">
        <v>208300</v>
      </c>
      <c r="I51" s="253" t="n">
        <v>947.2999999999884</v>
      </c>
      <c r="K51" s="255" t="inlineStr">
        <is>
          <t>D/801 Juvansang Parmar/ Khumansang  M. Parmar</t>
        </is>
      </c>
      <c r="L51" s="256" t="n">
        <v>1188120</v>
      </c>
      <c r="O51" s="257" t="inlineStr">
        <is>
          <t>P-1002,Brajeshkumar Malaviya</t>
        </is>
      </c>
      <c r="P51" s="1115" t="n">
        <v>39761</v>
      </c>
      <c r="R51" t="inlineStr">
        <is>
          <t>H-601,Rohit Kumar / Kumari Sonalisa</t>
        </is>
      </c>
      <c r="S51" t="n">
        <v>196000</v>
      </c>
    </row>
    <row r="52">
      <c r="B52" t="inlineStr">
        <is>
          <t>E-303, Rajendrakumar M.Jobanputra</t>
        </is>
      </c>
      <c r="C52" t="n">
        <v>50000</v>
      </c>
      <c r="F52" s="253" t="inlineStr">
        <is>
          <t>P-904, Niruben Soni, Mohit Soni</t>
        </is>
      </c>
      <c r="G52" s="253" t="n">
        <v>0</v>
      </c>
      <c r="H52" s="253" t="n">
        <v>238000</v>
      </c>
      <c r="I52" s="253" t="n">
        <v>238000</v>
      </c>
      <c r="K52" s="255" t="inlineStr">
        <is>
          <t>D-804, Neha Bhavin Shah / Bhavin Dipakbhai Shah</t>
        </is>
      </c>
      <c r="L52" s="256" t="n">
        <v>0</v>
      </c>
      <c r="O52" s="257" t="inlineStr">
        <is>
          <t>H-601,Rohit Kumar / Kumari Sonalisa</t>
        </is>
      </c>
      <c r="P52" s="1115" t="n">
        <v>42000</v>
      </c>
      <c r="R52" t="inlineStr">
        <is>
          <t>A-1102,Dharman Gopalkumar Bhatt</t>
        </is>
      </c>
      <c r="S52" t="n">
        <v>196000</v>
      </c>
    </row>
    <row r="53">
      <c r="B53" t="inlineStr">
        <is>
          <t>E-502,Divyesh Kumar Pundhir</t>
        </is>
      </c>
      <c r="C53" t="n">
        <v>50000</v>
      </c>
      <c r="F53" s="253" t="inlineStr">
        <is>
          <t>P-503, Shekhar Mudaliar</t>
        </is>
      </c>
      <c r="G53" s="253" t="n">
        <v>0</v>
      </c>
      <c r="H53" s="253" t="n">
        <v>218700</v>
      </c>
      <c r="I53" s="253" t="n">
        <v>218700</v>
      </c>
      <c r="K53" s="255" t="inlineStr">
        <is>
          <t>D-902, Bhavna Vijay Jadav</t>
        </is>
      </c>
      <c r="L53" s="256" t="n">
        <v>34044</v>
      </c>
      <c r="O53" s="257" t="inlineStr">
        <is>
          <t>A-1102,Dharman Gopalkumar Bhatt</t>
        </is>
      </c>
      <c r="P53" s="1115" t="n">
        <v>42000</v>
      </c>
      <c r="R53" t="inlineStr">
        <is>
          <t>G-904, Hiren R.Vaghasia</t>
        </is>
      </c>
      <c r="S53" t="n">
        <v>163000</v>
      </c>
    </row>
    <row r="54">
      <c r="B54" t="inlineStr">
        <is>
          <t>E-602, Dipak Singhal &amp; Anchal Singhal</t>
        </is>
      </c>
      <c r="C54" t="n">
        <v>50000</v>
      </c>
      <c r="F54" s="253" t="inlineStr">
        <is>
          <t>L-502, Shalabh Kaushik</t>
        </is>
      </c>
      <c r="G54" s="253" t="n">
        <v>0</v>
      </c>
      <c r="H54" s="253" t="n">
        <v>221200</v>
      </c>
      <c r="I54" s="253" t="n">
        <v>221200</v>
      </c>
      <c r="K54" s="255" t="inlineStr">
        <is>
          <t>D-904, Parth Dipakbhai Solanki</t>
        </is>
      </c>
      <c r="L54" s="256" t="n">
        <v>31612</v>
      </c>
      <c r="O54" s="257" t="inlineStr">
        <is>
          <t>O-103, Rakesh Jangid</t>
        </is>
      </c>
      <c r="P54" s="1115" t="n">
        <v>204500</v>
      </c>
      <c r="R54" t="inlineStr">
        <is>
          <t>E-502,Divyesh Kumar Pundhir</t>
        </is>
      </c>
      <c r="S54" t="n">
        <v>171500</v>
      </c>
    </row>
    <row r="55">
      <c r="B55" t="inlineStr">
        <is>
          <t>E-701,Sanket Govinbhi Panchal</t>
        </is>
      </c>
      <c r="C55" t="n">
        <v>50000</v>
      </c>
      <c r="F55" s="253" t="inlineStr">
        <is>
          <t>G-1004, Sandeep Popat</t>
        </is>
      </c>
      <c r="G55" s="253" t="n">
        <v>0</v>
      </c>
      <c r="H55" s="253" t="n">
        <v>170500</v>
      </c>
      <c r="I55" s="253" t="n">
        <v>170500</v>
      </c>
      <c r="K55" s="255" t="inlineStr">
        <is>
          <t>E-1001, Mrudang Nimishbhai Fulwala</t>
        </is>
      </c>
      <c r="L55" s="256" t="n">
        <v>43564</v>
      </c>
      <c r="O55" s="257" t="inlineStr">
        <is>
          <t>O-103, Rakesh Jangid</t>
        </is>
      </c>
      <c r="P55" s="1115" t="n">
        <v>43500</v>
      </c>
      <c r="R55" t="inlineStr">
        <is>
          <t>E-301, Vikramkumar</t>
        </is>
      </c>
      <c r="S55" t="n">
        <v>171000</v>
      </c>
    </row>
    <row r="56">
      <c r="B56" t="inlineStr">
        <is>
          <t>F/1102,Meet Yogeshbhai Sheth</t>
        </is>
      </c>
      <c r="C56" t="n">
        <v>50000</v>
      </c>
      <c r="F56" s="253" t="inlineStr">
        <is>
          <t>B-903, Smita Bhavinkumar Dave</t>
        </is>
      </c>
      <c r="G56" s="253" t="n">
        <v>263667.7</v>
      </c>
      <c r="H56" s="253" t="n">
        <v>264560</v>
      </c>
      <c r="I56" s="253" t="n">
        <v>892.2999999999884</v>
      </c>
      <c r="K56" s="255" t="inlineStr">
        <is>
          <t>E-101,Abhishek Dubey</t>
        </is>
      </c>
      <c r="L56" s="256" t="n">
        <v>39296</v>
      </c>
      <c r="O56" s="257" t="inlineStr">
        <is>
          <t>G-904, Hiren R.Vaghasia</t>
        </is>
      </c>
      <c r="P56" s="1115" t="n">
        <v>35000</v>
      </c>
      <c r="R56" t="inlineStr">
        <is>
          <t>G-601, Hiren Darji</t>
        </is>
      </c>
      <c r="S56" t="n">
        <v>162435</v>
      </c>
    </row>
    <row r="57">
      <c r="B57" t="inlineStr">
        <is>
          <t>F/603 Parth Jitendra Somaiya</t>
        </is>
      </c>
      <c r="C57" t="n">
        <v>50000</v>
      </c>
      <c r="F57" s="253" t="inlineStr">
        <is>
          <t>O-102. Varshaben Jagdishkumar Parmar</t>
        </is>
      </c>
      <c r="G57" s="253" t="n">
        <v>0</v>
      </c>
      <c r="H57" s="253" t="n">
        <v>141200</v>
      </c>
      <c r="I57" s="253" t="n">
        <v>141200</v>
      </c>
      <c r="K57" s="255" t="inlineStr">
        <is>
          <t>E-102,Rajubhai Gohel</t>
        </is>
      </c>
      <c r="L57" s="256" t="n">
        <v>38614</v>
      </c>
      <c r="O57" s="257" t="inlineStr">
        <is>
          <t>E-502,Divyesh Kumar Pundhir</t>
        </is>
      </c>
      <c r="P57" s="1115" t="n">
        <v>37500</v>
      </c>
      <c r="R57" t="inlineStr">
        <is>
          <t>K-402,Ravinjay Tiwari</t>
        </is>
      </c>
      <c r="S57" t="n">
        <v>215600</v>
      </c>
    </row>
    <row r="58">
      <c r="B58" t="inlineStr">
        <is>
          <t>F-1002, Jigar J.Patel</t>
        </is>
      </c>
      <c r="C58" t="n">
        <v>50000</v>
      </c>
      <c r="F58" s="253" t="inlineStr">
        <is>
          <t>D-902, Bhavna Vijay Jadav</t>
        </is>
      </c>
      <c r="G58" s="253" t="n">
        <v>0</v>
      </c>
      <c r="H58" s="253" t="n">
        <v>205500</v>
      </c>
      <c r="I58" s="253" t="n">
        <v>205500</v>
      </c>
      <c r="K58" s="255" t="inlineStr">
        <is>
          <t>E-1103, Hiren Kavad</t>
        </is>
      </c>
      <c r="L58" s="256" t="n">
        <v>-162700</v>
      </c>
      <c r="O58" s="257" t="inlineStr">
        <is>
          <t>E-301, Vikramkumar</t>
        </is>
      </c>
      <c r="P58" s="1115" t="n">
        <v>37000</v>
      </c>
      <c r="R58" t="inlineStr">
        <is>
          <t>K-1201, Riya Dasgupta</t>
        </is>
      </c>
      <c r="S58" t="n">
        <v>217300</v>
      </c>
    </row>
    <row r="59">
      <c r="B59" t="inlineStr">
        <is>
          <t>F-1003,Garima Rajawat &amp; Jaisingh Sisodia</t>
        </is>
      </c>
      <c r="C59" t="n">
        <v>50000</v>
      </c>
      <c r="F59" s="253" t="inlineStr">
        <is>
          <t>O-1202, Jay Chandrakant Shah</t>
        </is>
      </c>
      <c r="G59" s="253" t="n">
        <v>0</v>
      </c>
      <c r="H59" s="253" t="n">
        <v>248500</v>
      </c>
      <c r="I59" s="253" t="n">
        <v>248500</v>
      </c>
      <c r="K59" s="255" t="inlineStr">
        <is>
          <t>E-1104, Priyanka Yadav, Pradeep Yadav</t>
        </is>
      </c>
      <c r="L59" s="256" t="n">
        <v>-42494</v>
      </c>
      <c r="O59" s="257" t="inlineStr">
        <is>
          <t>G-601, Hiren Darji</t>
        </is>
      </c>
      <c r="P59" s="1115" t="n">
        <v>35150</v>
      </c>
      <c r="R59" t="inlineStr">
        <is>
          <t>I-304, Mehulsinh Ranilsinh Rajput</t>
        </is>
      </c>
      <c r="S59" t="n">
        <v>218500</v>
      </c>
    </row>
    <row r="60">
      <c r="B60" t="inlineStr">
        <is>
          <t>F-101, Jatin Prakash Gupta</t>
        </is>
      </c>
      <c r="C60" t="n">
        <v>50000</v>
      </c>
      <c r="F60" s="253" t="inlineStr">
        <is>
          <t>P-1002,Brajeshkumar Malaviya</t>
        </is>
      </c>
      <c r="G60" s="253" t="n">
        <v>0</v>
      </c>
      <c r="H60" s="253" t="n">
        <v>224811</v>
      </c>
      <c r="I60" s="253" t="n">
        <v>224811</v>
      </c>
      <c r="K60" s="255" t="inlineStr">
        <is>
          <t>E-1202, Riya Murawat</t>
        </is>
      </c>
      <c r="L60" s="256" t="n">
        <v>40488</v>
      </c>
      <c r="O60" s="257" t="inlineStr">
        <is>
          <t>K-402,Ravinjay Tiwari</t>
        </is>
      </c>
      <c r="P60" s="1115" t="n">
        <v>44000</v>
      </c>
      <c r="R60" t="inlineStr">
        <is>
          <t>A/702,Hemantkumar Ishvarlal Bhavsar</t>
        </is>
      </c>
      <c r="S60" t="n">
        <v>174550</v>
      </c>
    </row>
    <row r="61">
      <c r="B61" t="inlineStr">
        <is>
          <t>F-104, Saurav Manibind</t>
        </is>
      </c>
      <c r="C61" t="n">
        <v>50000</v>
      </c>
      <c r="F61" s="253" t="inlineStr">
        <is>
          <t>H-601,Rohit Kumar / Kumari Sonalisa</t>
        </is>
      </c>
      <c r="G61" s="253" t="n">
        <v>0</v>
      </c>
      <c r="H61" s="253" t="n">
        <v>238000</v>
      </c>
      <c r="I61" s="253" t="n">
        <v>238000</v>
      </c>
      <c r="K61" s="255" t="inlineStr">
        <is>
          <t>E-1302, Prasant Gelani</t>
        </is>
      </c>
      <c r="L61" s="256" t="n">
        <v>3307922</v>
      </c>
      <c r="O61" s="257" t="inlineStr">
        <is>
          <t>K-1201, Riya Dasgupta</t>
        </is>
      </c>
      <c r="P61" s="1115" t="n">
        <v>2200</v>
      </c>
      <c r="R61" t="inlineStr">
        <is>
          <t>A/701,Hemantkumar Ishwarlal Bhavsar</t>
        </is>
      </c>
      <c r="S61" t="n">
        <v>174550</v>
      </c>
    </row>
    <row r="62">
      <c r="B62" t="inlineStr">
        <is>
          <t>F-1201, Ashima Sehgal</t>
        </is>
      </c>
      <c r="C62" t="n">
        <v>50000</v>
      </c>
      <c r="F62" s="253" t="inlineStr">
        <is>
          <t>A-1102,Dharman Gopalkumar Bhatt</t>
        </is>
      </c>
      <c r="G62" s="253" t="n">
        <v>0</v>
      </c>
      <c r="H62" s="253" t="n">
        <v>238000</v>
      </c>
      <c r="I62" s="253" t="n">
        <v>238000</v>
      </c>
      <c r="K62" s="255" t="inlineStr">
        <is>
          <t>E-204, Ankit Jagdish Sharma</t>
        </is>
      </c>
      <c r="L62" s="256" t="n">
        <v>99010</v>
      </c>
      <c r="O62" s="257" t="inlineStr">
        <is>
          <t>I-304, Mehulsinh Ranilsinh Rajput</t>
        </is>
      </c>
      <c r="P62" s="1115" t="n">
        <v>218500</v>
      </c>
      <c r="R62" t="inlineStr">
        <is>
          <t>E-602, Dipak Singhal &amp; Anchal Singhal</t>
        </is>
      </c>
      <c r="S62" t="n">
        <v>183000</v>
      </c>
    </row>
    <row r="63">
      <c r="B63" t="inlineStr">
        <is>
          <t>F-202, Nandaben J. Parmar, Priyanka A. Chauhan</t>
        </is>
      </c>
      <c r="C63" t="n">
        <v>50000</v>
      </c>
      <c r="F63" s="253" t="inlineStr">
        <is>
          <t>O-103, Rakesh Jangid</t>
        </is>
      </c>
      <c r="G63" s="253" t="n">
        <v>0</v>
      </c>
      <c r="H63" s="253" t="n">
        <v>248000</v>
      </c>
      <c r="I63" s="253" t="n">
        <v>248000</v>
      </c>
      <c r="K63" s="255" t="inlineStr">
        <is>
          <t>E-301, Vikramkumar</t>
        </is>
      </c>
      <c r="L63" s="256" t="n">
        <v>34496</v>
      </c>
      <c r="O63" s="257" t="inlineStr">
        <is>
          <t>I-304, Mehulsinh Ranilsinh Rajput</t>
        </is>
      </c>
      <c r="P63" s="1115" t="n">
        <v>46500</v>
      </c>
      <c r="R63" t="inlineStr">
        <is>
          <t>I-1104, Aashka Vivek Prajapati</t>
        </is>
      </c>
      <c r="S63" t="n">
        <v>187000</v>
      </c>
    </row>
    <row r="64">
      <c r="B64" t="inlineStr">
        <is>
          <t>F-203, Kalpesh Rohit Contractor &amp; Nency Contractor</t>
        </is>
      </c>
      <c r="C64" t="n">
        <v>50000</v>
      </c>
      <c r="F64" s="253" t="inlineStr">
        <is>
          <t>G-904, Hiren R.Vaghasia</t>
        </is>
      </c>
      <c r="G64" s="253" t="n">
        <v>0</v>
      </c>
      <c r="H64" s="253" t="n">
        <v>198000</v>
      </c>
      <c r="I64" s="253" t="n">
        <v>198000</v>
      </c>
      <c r="K64" s="255" t="inlineStr">
        <is>
          <t>E-303, Rajendrakumar M.Jobanputra</t>
        </is>
      </c>
      <c r="L64" s="256" t="n">
        <v>-50000</v>
      </c>
      <c r="O64" s="257" t="inlineStr">
        <is>
          <t>A/702,Hemantkumar Ishvarlal Bhavsar</t>
        </is>
      </c>
      <c r="P64" s="1115" t="n">
        <v>38116</v>
      </c>
      <c r="R64" t="inlineStr">
        <is>
          <t>I-1104, Aashka Vivek Prajapati</t>
        </is>
      </c>
      <c r="S64" t="n">
        <v>40000</v>
      </c>
    </row>
    <row r="65">
      <c r="B65" t="inlineStr">
        <is>
          <t>F-204, Jaxnikumar Naik</t>
        </is>
      </c>
      <c r="C65" t="n">
        <v>50000</v>
      </c>
      <c r="F65" s="253" t="inlineStr">
        <is>
          <t>E-502,Divyesh Kumar Pundhir</t>
        </is>
      </c>
      <c r="G65" s="253" t="n">
        <v>0</v>
      </c>
      <c r="H65" s="253" t="n">
        <v>209000</v>
      </c>
      <c r="I65" s="253" t="n">
        <v>209000</v>
      </c>
      <c r="K65" s="255" t="inlineStr">
        <is>
          <t>E-502,Divyesh Kumar Pundhir</t>
        </is>
      </c>
      <c r="L65" s="256" t="n">
        <v>39757</v>
      </c>
      <c r="O65" s="257" t="inlineStr">
        <is>
          <t>A/702,Hemantkumar Ishvarlal Bhavsar</t>
        </is>
      </c>
      <c r="P65" s="1115" t="n">
        <v>174550</v>
      </c>
      <c r="R65" t="inlineStr">
        <is>
          <t>B/503 Kishor M Bhatia</t>
        </is>
      </c>
      <c r="S65" t="n">
        <v>198000</v>
      </c>
    </row>
    <row r="66">
      <c r="B66" t="inlineStr">
        <is>
          <t>F-302,Jaimin Barot</t>
        </is>
      </c>
      <c r="C66" t="n">
        <v>50000</v>
      </c>
      <c r="F66" s="253" t="inlineStr">
        <is>
          <t>E-301, Vikramkumar</t>
        </is>
      </c>
      <c r="G66" s="253" t="n">
        <v>0</v>
      </c>
      <c r="H66" s="253" t="n">
        <v>208000</v>
      </c>
      <c r="I66" s="253" t="n">
        <v>208000</v>
      </c>
      <c r="K66" s="255" t="inlineStr">
        <is>
          <t>E-602, Dipak Singhal &amp; Anchal Singhal</t>
        </is>
      </c>
      <c r="L66" s="256" t="n">
        <v>36840</v>
      </c>
      <c r="O66" s="257" t="inlineStr">
        <is>
          <t>(as per details)</t>
        </is>
      </c>
      <c r="P66" s="1115" t="n">
        <v>48378</v>
      </c>
      <c r="R66" t="inlineStr">
        <is>
          <t>K-1202, Sagar Devajibhai Ladani</t>
        </is>
      </c>
      <c r="S66" t="n">
        <v>172000</v>
      </c>
    </row>
    <row r="67">
      <c r="B67" t="inlineStr">
        <is>
          <t>F-304, Ripal Vikash Jain (Ripal Bhatt)</t>
        </is>
      </c>
      <c r="C67" t="n">
        <v>50000</v>
      </c>
      <c r="F67" s="253" t="inlineStr">
        <is>
          <t>G-601, Hiren Darji</t>
        </is>
      </c>
      <c r="G67" s="253" t="n">
        <v>0</v>
      </c>
      <c r="H67" s="253" t="n">
        <v>197585</v>
      </c>
      <c r="I67" s="253" t="n">
        <v>197585</v>
      </c>
      <c r="K67" s="255" t="inlineStr">
        <is>
          <t>E-603,Yogita Amit Singhal</t>
        </is>
      </c>
      <c r="L67" s="256" t="n">
        <v>74256</v>
      </c>
      <c r="O67" s="259" t="inlineStr">
        <is>
          <t>A/702,Hemantkumar Ishvarlal Bhavsar</t>
        </is>
      </c>
      <c r="P67" s="1116" t="n"/>
      <c r="R67" t="inlineStr">
        <is>
          <t>K-702,Tapan Jayeshbhai Khimani</t>
        </is>
      </c>
      <c r="S67" t="n">
        <v>216000</v>
      </c>
    </row>
    <row r="68">
      <c r="B68" t="inlineStr">
        <is>
          <t>F-501,Maulikbhai Gondaliya</t>
        </is>
      </c>
      <c r="C68" t="n">
        <v>50000</v>
      </c>
      <c r="F68" s="253" t="inlineStr">
        <is>
          <t>K-402,Ravinjay Tiwari</t>
        </is>
      </c>
      <c r="G68" s="253" t="n">
        <v>0</v>
      </c>
      <c r="H68" s="253" t="n">
        <v>259600</v>
      </c>
      <c r="I68" s="253" t="n">
        <v>259600</v>
      </c>
      <c r="K68" s="255" t="inlineStr">
        <is>
          <t>E-701,Sanket Govinbhi Panchal</t>
        </is>
      </c>
      <c r="L68" s="256" t="n">
        <v>30527</v>
      </c>
      <c r="O68" s="259" t="inlineStr">
        <is>
          <t>CGST ON COLLECTION</t>
        </is>
      </c>
      <c r="P68" s="1116" t="n"/>
      <c r="R68" t="inlineStr">
        <is>
          <t>N-502, Sanjaykumar Mistry</t>
        </is>
      </c>
      <c r="S68" t="n">
        <v>138400</v>
      </c>
    </row>
    <row r="69">
      <c r="B69" t="inlineStr">
        <is>
          <t>F-503, Sanjay Bhadra</t>
        </is>
      </c>
      <c r="C69" t="n">
        <v>50000</v>
      </c>
      <c r="F69" s="253" t="inlineStr">
        <is>
          <t>K-1201, Riya Dasgupta</t>
        </is>
      </c>
      <c r="G69" s="253" t="n">
        <v>0</v>
      </c>
      <c r="H69" s="253" t="n">
        <v>219500</v>
      </c>
      <c r="I69" s="253" t="n">
        <v>219500</v>
      </c>
      <c r="K69" s="255" t="inlineStr">
        <is>
          <t>F-1002, Jigar J.Patel</t>
        </is>
      </c>
      <c r="L69" s="256" t="n">
        <v>-265400</v>
      </c>
      <c r="O69" s="259" t="inlineStr">
        <is>
          <t>SGST ON COLLECTION</t>
        </is>
      </c>
      <c r="P69" s="1116" t="n"/>
      <c r="R69" t="inlineStr">
        <is>
          <t>M-801 Tarak B. Shah, Anjana Chauhan</t>
        </is>
      </c>
      <c r="S69" t="n">
        <v>160000</v>
      </c>
    </row>
    <row r="70">
      <c r="B70" t="inlineStr">
        <is>
          <t>F-703, Gaurav Sanjay Kankraj</t>
        </is>
      </c>
      <c r="C70" t="n">
        <v>50000</v>
      </c>
      <c r="F70" s="253" t="inlineStr">
        <is>
          <t>I-304, Mehulsinh Ranilsinh Rajput</t>
        </is>
      </c>
      <c r="G70" s="253" t="n">
        <v>263667.7</v>
      </c>
      <c r="H70" s="253" t="n">
        <v>265000</v>
      </c>
      <c r="I70" s="253" t="n">
        <v>1332.299999999988</v>
      </c>
      <c r="K70" s="255" t="inlineStr">
        <is>
          <t>F-1003,Garima Rajawat &amp; Jaisingh Sisodia</t>
        </is>
      </c>
      <c r="L70" s="256" t="n">
        <v>39880</v>
      </c>
      <c r="O70" s="257" t="inlineStr">
        <is>
          <t>A/701,Hemantkumar Ishwarlal Bhavsar</t>
        </is>
      </c>
      <c r="P70" s="1115" t="n">
        <v>38116</v>
      </c>
      <c r="R70" t="inlineStr">
        <is>
          <t>K-104,Amogh Chitnis</t>
        </is>
      </c>
      <c r="S70" t="n">
        <v>172000</v>
      </c>
    </row>
    <row r="71">
      <c r="B71" t="inlineStr">
        <is>
          <t>F-801,Ashokkumar M.Sonagara</t>
        </is>
      </c>
      <c r="C71" t="n">
        <v>50000</v>
      </c>
      <c r="F71" s="253" t="inlineStr">
        <is>
          <t>A/702,Hemantkumar Ishvarlal Bhavsar</t>
        </is>
      </c>
      <c r="G71" s="253" t="n">
        <v>0</v>
      </c>
      <c r="H71" s="253" t="n">
        <v>212666</v>
      </c>
      <c r="I71" s="253" t="n">
        <v>212666</v>
      </c>
      <c r="K71" s="255" t="inlineStr">
        <is>
          <t>F-101, Jatin Prakash Gupta</t>
        </is>
      </c>
      <c r="L71" s="256" t="n">
        <v>211640</v>
      </c>
      <c r="O71" s="257" t="inlineStr">
        <is>
          <t>E-602, Dipak Singhal &amp; Anchal Singhal</t>
        </is>
      </c>
      <c r="P71" s="1115" t="n">
        <v>2200</v>
      </c>
      <c r="R71" t="inlineStr">
        <is>
          <t>I-301 Ankit Dharmendra Jani</t>
        </is>
      </c>
      <c r="S71" t="n">
        <v>195000</v>
      </c>
    </row>
    <row r="72">
      <c r="B72" t="inlineStr">
        <is>
          <t>F-802 ,Hemang Bharatbhai Ahya</t>
        </is>
      </c>
      <c r="C72" t="n">
        <v>50000</v>
      </c>
      <c r="F72" s="253" t="inlineStr">
        <is>
          <t>A/701,Hemantkumar Ishwarlal Bhavsar</t>
        </is>
      </c>
      <c r="G72" s="253" t="n">
        <v>0</v>
      </c>
      <c r="H72" s="253" t="n">
        <v>212666</v>
      </c>
      <c r="I72" s="253" t="n">
        <v>212666</v>
      </c>
      <c r="K72" s="255" t="inlineStr">
        <is>
          <t>F-104, Saurav Manibind</t>
        </is>
      </c>
      <c r="L72" s="256" t="n">
        <v>32828</v>
      </c>
      <c r="O72" s="257" t="inlineStr">
        <is>
          <t>B/503 Kishor M Bhatia</t>
        </is>
      </c>
      <c r="P72" s="1115" t="n">
        <v>42500</v>
      </c>
      <c r="R72" t="inlineStr">
        <is>
          <t>M-203,Lokesh Bansilal Kalal</t>
        </is>
      </c>
      <c r="S72" t="n">
        <v>180550</v>
      </c>
    </row>
    <row r="73">
      <c r="B73" t="inlineStr">
        <is>
          <t>F-903,Krati Shrimali</t>
        </is>
      </c>
      <c r="C73" t="n">
        <v>50000</v>
      </c>
      <c r="F73" s="253" t="inlineStr">
        <is>
          <t>E-602, Dipak Singhal &amp; Anchal Singhal</t>
        </is>
      </c>
      <c r="G73" s="253" t="n">
        <v>0</v>
      </c>
      <c r="H73" s="253" t="n">
        <v>185200</v>
      </c>
      <c r="I73" s="253" t="n">
        <v>185200</v>
      </c>
      <c r="K73" s="255" t="inlineStr">
        <is>
          <t>F-1101, Vijay Ojha</t>
        </is>
      </c>
      <c r="L73" s="256" t="n">
        <v>1354456</v>
      </c>
      <c r="O73" s="257" t="inlineStr">
        <is>
          <t>K-1202, Sagar Devajibhai Ladani</t>
        </is>
      </c>
      <c r="P73" s="1115" t="n">
        <v>37000</v>
      </c>
      <c r="R73" t="inlineStr">
        <is>
          <t>N-202, Jaydevsinh Rana, Yuvraj Rana</t>
        </is>
      </c>
      <c r="S73" t="n">
        <v>182000</v>
      </c>
    </row>
    <row r="74">
      <c r="B74" t="inlineStr">
        <is>
          <t>F-904, Anuj Narayan Bhatt</t>
        </is>
      </c>
      <c r="C74" t="n">
        <v>50000</v>
      </c>
      <c r="F74" s="253" t="inlineStr">
        <is>
          <t>I-1104, Aashka Vivek Prajapati</t>
        </is>
      </c>
      <c r="G74" s="253" t="n">
        <v>0</v>
      </c>
      <c r="H74" s="253" t="n">
        <v>227000</v>
      </c>
      <c r="I74" s="253" t="n">
        <v>227000</v>
      </c>
      <c r="K74" s="255" t="inlineStr">
        <is>
          <t>F/1102,Meet Yogeshbhai Sheth</t>
        </is>
      </c>
      <c r="L74" s="256" t="n">
        <v>32828</v>
      </c>
      <c r="O74" s="257" t="inlineStr">
        <is>
          <t>K-702,Tapan Jayeshbhai Khimani</t>
        </is>
      </c>
      <c r="P74" s="1115" t="n">
        <v>46000</v>
      </c>
      <c r="R74" t="inlineStr">
        <is>
          <t>O-703, Rahul M. Andharia</t>
        </is>
      </c>
      <c r="S74" t="n">
        <v>193000</v>
      </c>
    </row>
    <row r="75">
      <c r="B75" t="inlineStr">
        <is>
          <t>G/803 Jatin Maheshchandra Gujella</t>
        </is>
      </c>
      <c r="C75" t="n">
        <v>50000</v>
      </c>
      <c r="F75" s="253" t="inlineStr">
        <is>
          <t>B/503 Kishor M Bhatia</t>
        </is>
      </c>
      <c r="G75" s="253" t="n">
        <v>0</v>
      </c>
      <c r="H75" s="253" t="n">
        <v>240500</v>
      </c>
      <c r="I75" s="253" t="n">
        <v>240500</v>
      </c>
      <c r="K75" s="255" t="inlineStr">
        <is>
          <t>F-1201, Ashima Sehgal</t>
        </is>
      </c>
      <c r="L75" s="256" t="n">
        <v>26992</v>
      </c>
      <c r="O75" s="257" t="inlineStr">
        <is>
          <t>N-502, Sanjaykumar Mistry</t>
        </is>
      </c>
      <c r="P75" s="1115" t="n">
        <v>30244</v>
      </c>
      <c r="R75" t="inlineStr">
        <is>
          <t>C-1303, Vikas Jain / Anamika Jain</t>
        </is>
      </c>
      <c r="S75" t="n">
        <v>189200</v>
      </c>
    </row>
    <row r="76">
      <c r="B76" t="inlineStr">
        <is>
          <t>G-1003, Parth Mathurbhai Dobariya</t>
        </is>
      </c>
      <c r="C76" t="n">
        <v>50000</v>
      </c>
      <c r="F76" s="253" t="inlineStr">
        <is>
          <t>K-1202, Sagar Devajibhai Ladani</t>
        </is>
      </c>
      <c r="G76" s="253" t="n">
        <v>0</v>
      </c>
      <c r="H76" s="253" t="n">
        <v>209000</v>
      </c>
      <c r="I76" s="253" t="n">
        <v>209000</v>
      </c>
      <c r="K76" s="255" t="inlineStr">
        <is>
          <t>F-1303, Shashank Chandraman Joshi</t>
        </is>
      </c>
      <c r="L76" s="256" t="n">
        <v>378614</v>
      </c>
      <c r="O76" s="257" t="inlineStr">
        <is>
          <t>M-801 Tarak B. Shah, Anjana Chauhan</t>
        </is>
      </c>
      <c r="P76" s="1115" t="n">
        <v>34500</v>
      </c>
      <c r="R76" t="inlineStr">
        <is>
          <t>K-504,Udaykumar Vipinbhai Dave</t>
        </is>
      </c>
      <c r="S76" t="n">
        <v>220000</v>
      </c>
    </row>
    <row r="77">
      <c r="B77" t="inlineStr">
        <is>
          <t>G-1004, Sandeep Popat</t>
        </is>
      </c>
      <c r="C77" t="n">
        <v>50000</v>
      </c>
      <c r="F77" s="253" t="inlineStr">
        <is>
          <t>K-702,Tapan Jayeshbhai Khimani</t>
        </is>
      </c>
      <c r="G77" s="253" t="n">
        <v>0</v>
      </c>
      <c r="H77" s="253" t="n">
        <v>262000</v>
      </c>
      <c r="I77" s="253" t="n">
        <v>262000</v>
      </c>
      <c r="K77" s="255" t="inlineStr">
        <is>
          <t>F-202, Nandaben J. Parmar, Priyanka A. Chauhan</t>
        </is>
      </c>
      <c r="L77" s="256" t="n">
        <v>31290</v>
      </c>
      <c r="O77" s="257" t="inlineStr">
        <is>
          <t>K-104,Amogh Chitnis</t>
        </is>
      </c>
      <c r="P77" s="1115" t="n">
        <v>37000</v>
      </c>
      <c r="R77" t="inlineStr">
        <is>
          <t>K-1204, Suman Mohanty</t>
        </is>
      </c>
      <c r="S77" t="n">
        <v>217300</v>
      </c>
    </row>
    <row r="78">
      <c r="B78" t="inlineStr">
        <is>
          <t>G-104, Daksha Rajeshbhai Darji</t>
        </is>
      </c>
      <c r="C78" t="n">
        <v>50000</v>
      </c>
      <c r="F78" s="253" t="inlineStr">
        <is>
          <t>N-502, Sanjaykumar Mistry</t>
        </is>
      </c>
      <c r="G78" s="253" t="n">
        <v>0</v>
      </c>
      <c r="H78" s="253" t="n">
        <v>168644</v>
      </c>
      <c r="I78" s="253" t="n">
        <v>168644</v>
      </c>
      <c r="K78" s="255" t="inlineStr">
        <is>
          <t>F-203, Kalpesh Rohit Contractor &amp; Nency Contractor</t>
        </is>
      </c>
      <c r="L78" s="256" t="n">
        <v>35016</v>
      </c>
      <c r="O78" s="257" t="inlineStr">
        <is>
          <t>I-301 Ankit Dharmendra Jani</t>
        </is>
      </c>
      <c r="P78" s="1115" t="n">
        <v>41700</v>
      </c>
      <c r="R78" t="inlineStr">
        <is>
          <t>D-1403,Jay Adthakkar</t>
        </is>
      </c>
      <c r="S78" t="n">
        <v>154100</v>
      </c>
    </row>
    <row r="79">
      <c r="B79" t="inlineStr">
        <is>
          <t>G-1203  Ravi Vijaykumar</t>
        </is>
      </c>
      <c r="C79" t="n">
        <v>50000</v>
      </c>
      <c r="F79" s="253" t="inlineStr">
        <is>
          <t>M-801 Tarak B. Shah, Anjana Chauhan</t>
        </is>
      </c>
      <c r="G79" s="253" t="n">
        <v>0</v>
      </c>
      <c r="H79" s="253" t="n">
        <v>194500</v>
      </c>
      <c r="I79" s="253" t="n">
        <v>194500</v>
      </c>
      <c r="K79" s="255" t="inlineStr">
        <is>
          <t>F-204, Jaxnikumar Naik</t>
        </is>
      </c>
      <c r="L79" s="256" t="n">
        <v>28360</v>
      </c>
      <c r="O79" s="257" t="inlineStr">
        <is>
          <t>M-203,Lokesh Bansilal Kalal</t>
        </is>
      </c>
      <c r="P79" s="1115" t="n">
        <v>38840</v>
      </c>
      <c r="R79" t="inlineStr">
        <is>
          <t>J-604,Anil Jayantilal Dave</t>
        </is>
      </c>
      <c r="S79" t="n">
        <v>172000</v>
      </c>
    </row>
    <row r="80">
      <c r="B80" t="inlineStr">
        <is>
          <t>G-1302, Vishal Kumar Gupta</t>
        </is>
      </c>
      <c r="C80" t="n">
        <v>50000</v>
      </c>
      <c r="F80" s="253" t="inlineStr">
        <is>
          <t>K-104,Amogh Chitnis</t>
        </is>
      </c>
      <c r="G80" s="253" t="n">
        <v>207617.7</v>
      </c>
      <c r="H80" s="253" t="n">
        <v>209000</v>
      </c>
      <c r="I80" s="253" t="n">
        <v>1382.299999999988</v>
      </c>
      <c r="K80" s="255" t="inlineStr">
        <is>
          <t>F-301,Mukund Asati</t>
        </is>
      </c>
      <c r="L80" s="256" t="n">
        <v>2376960</v>
      </c>
      <c r="O80" s="257" t="inlineStr">
        <is>
          <t>N-202, Jaydevsinh Rana, Yuvraj Rana</t>
        </is>
      </c>
      <c r="P80" s="1115" t="n">
        <v>39220</v>
      </c>
      <c r="R80" t="inlineStr">
        <is>
          <t>K-604,Bhavika &amp; Vijay Parshotambhai Patel</t>
        </is>
      </c>
      <c r="S80" t="n">
        <v>216920</v>
      </c>
    </row>
    <row r="81">
      <c r="B81" t="inlineStr">
        <is>
          <t>G-204, Deepakkumar Bhanwarlal Mewara</t>
        </is>
      </c>
      <c r="C81" t="n">
        <v>50000</v>
      </c>
      <c r="F81" s="253" t="inlineStr">
        <is>
          <t>I-301 Ankit Dharmendra Jani</t>
        </is>
      </c>
      <c r="G81" s="253" t="n">
        <v>235187.7</v>
      </c>
      <c r="H81" s="253" t="n">
        <v>236700</v>
      </c>
      <c r="I81" s="253" t="n">
        <v>1512.299999999988</v>
      </c>
      <c r="K81" s="255" t="inlineStr">
        <is>
          <t>F-302,Jaimin Barot</t>
        </is>
      </c>
      <c r="L81" s="256" t="n">
        <v>305068</v>
      </c>
      <c r="O81" s="257" t="inlineStr">
        <is>
          <t>O-703, Rahul M. Andharia</t>
        </is>
      </c>
      <c r="P81" s="1115" t="n">
        <v>41500</v>
      </c>
      <c r="R81" t="inlineStr">
        <is>
          <t>F-304, Ripal Vikash Jain (Ripal Bhatt)</t>
        </is>
      </c>
      <c r="S81" t="n">
        <v>174000</v>
      </c>
    </row>
    <row r="82">
      <c r="B82" t="inlineStr">
        <is>
          <t>G-502, Prakash Chandra Mishra / Sauravini Mishra</t>
        </is>
      </c>
      <c r="C82" t="n">
        <v>50000</v>
      </c>
      <c r="F82" s="253" t="inlineStr">
        <is>
          <t>M-203,Lokesh Bansilal Kalal</t>
        </is>
      </c>
      <c r="G82" s="253" t="n">
        <v>218477.7</v>
      </c>
      <c r="H82" s="253" t="n">
        <v>219390</v>
      </c>
      <c r="I82" s="253" t="n">
        <v>912.2999999999884</v>
      </c>
      <c r="K82" s="255" t="inlineStr">
        <is>
          <t>F-304, Ripal Vikash Jain (Ripal Bhatt)</t>
        </is>
      </c>
      <c r="L82" s="256" t="n">
        <v>35041</v>
      </c>
      <c r="O82" s="257" t="inlineStr">
        <is>
          <t>C-1303, Vikas Jain / Anamika Jain</t>
        </is>
      </c>
      <c r="P82" s="1115" t="n">
        <v>40600</v>
      </c>
      <c r="R82" t="inlineStr">
        <is>
          <t>J-502,Ronak N. Parikh</t>
        </is>
      </c>
      <c r="S82" t="n">
        <v>185500</v>
      </c>
    </row>
    <row r="83">
      <c r="B83" t="inlineStr">
        <is>
          <t>G-503,Sukhdevsingh</t>
        </is>
      </c>
      <c r="C83" t="n">
        <v>50000</v>
      </c>
      <c r="F83" s="253" t="inlineStr">
        <is>
          <t>N-202, Jaydevsinh Rana, Yuvraj Rana</t>
        </is>
      </c>
      <c r="G83" s="253" t="n">
        <v>0</v>
      </c>
      <c r="H83" s="253" t="n">
        <v>221220</v>
      </c>
      <c r="I83" s="253" t="n">
        <v>221220</v>
      </c>
      <c r="K83" s="255" t="inlineStr">
        <is>
          <t>F-501,Maulikbhai Gondaliya</t>
        </is>
      </c>
      <c r="L83" s="256" t="n">
        <v>27356</v>
      </c>
      <c r="O83" s="257" t="inlineStr">
        <is>
          <t>K-504,Udaykumar Vipinbhai Dave</t>
        </is>
      </c>
      <c r="P83" s="1115" t="n">
        <v>46800</v>
      </c>
      <c r="R83" t="inlineStr">
        <is>
          <t>K/302, Soumendrakumar Behera</t>
        </is>
      </c>
      <c r="S83" t="n">
        <v>219000</v>
      </c>
    </row>
    <row r="84">
      <c r="B84" t="inlineStr">
        <is>
          <t>G-601, Hiren Darji</t>
        </is>
      </c>
      <c r="C84" t="n">
        <v>50000</v>
      </c>
      <c r="F84" s="253" t="inlineStr">
        <is>
          <t>O-703, Rahul M. Andharia</t>
        </is>
      </c>
      <c r="G84" s="253" t="n">
        <v>0</v>
      </c>
      <c r="H84" s="253" t="n">
        <v>234500</v>
      </c>
      <c r="I84" s="253" t="n">
        <v>234500</v>
      </c>
      <c r="K84" s="255" t="inlineStr">
        <is>
          <t>F-503, Sanjay Bhadra</t>
        </is>
      </c>
      <c r="L84" s="256" t="n">
        <v>39610</v>
      </c>
      <c r="O84" s="257" t="inlineStr">
        <is>
          <t>K-1204, Suman Mohanty</t>
        </is>
      </c>
      <c r="P84" s="1115" t="n">
        <v>2200</v>
      </c>
      <c r="R84" t="inlineStr">
        <is>
          <t>E-303, Rajendrakumar M.Jobanputra</t>
        </is>
      </c>
      <c r="S84" t="n">
        <v>145000</v>
      </c>
    </row>
    <row r="85">
      <c r="B85" t="inlineStr">
        <is>
          <t>G-603, Nitin Raghunath Devle</t>
        </is>
      </c>
      <c r="C85" t="n">
        <v>50000</v>
      </c>
      <c r="F85" s="253" t="inlineStr">
        <is>
          <t>C-1303, Vikas Jain / Anamika Jain</t>
        </is>
      </c>
      <c r="G85" s="253" t="n">
        <v>228769.7</v>
      </c>
      <c r="H85" s="253" t="n">
        <v>229800</v>
      </c>
      <c r="I85" s="253" t="n">
        <v>1030.299999999988</v>
      </c>
      <c r="K85" s="255" t="inlineStr">
        <is>
          <t>F/603 Parth Jitendra Somaiya</t>
        </is>
      </c>
      <c r="L85" s="256" t="n">
        <v>-240500</v>
      </c>
      <c r="O85" s="257" t="inlineStr">
        <is>
          <t>D-1403,Jay Adthakkar</t>
        </is>
      </c>
      <c r="P85" s="1115" t="n">
        <v>33400</v>
      </c>
      <c r="R85" t="inlineStr">
        <is>
          <t>H-204, Riya Agarwal / Mayank Singhal</t>
        </is>
      </c>
      <c r="S85" t="n">
        <v>160500</v>
      </c>
    </row>
    <row r="86">
      <c r="B86" t="inlineStr">
        <is>
          <t>G-802,Prakashchandra B. Joshi</t>
        </is>
      </c>
      <c r="C86" t="n">
        <v>50000</v>
      </c>
      <c r="F86" s="253" t="inlineStr">
        <is>
          <t>K-504,Udaykumar Vipinbhai Dave</t>
        </is>
      </c>
      <c r="G86" s="253" t="n">
        <v>0</v>
      </c>
      <c r="H86" s="253" t="n">
        <v>266800</v>
      </c>
      <c r="I86" s="253" t="n">
        <v>266800</v>
      </c>
      <c r="K86" s="255" t="inlineStr">
        <is>
          <t>F-604, Gurumeet Singh</t>
        </is>
      </c>
      <c r="L86" s="256" t="n">
        <v>-190500</v>
      </c>
      <c r="O86" s="257" t="inlineStr">
        <is>
          <t>J-604,Anil Jayantilal Dave</t>
        </is>
      </c>
      <c r="P86" s="1115" t="n">
        <v>37000</v>
      </c>
      <c r="R86" t="inlineStr">
        <is>
          <t>F-1201, Ashima Sehgal</t>
        </is>
      </c>
      <c r="S86" t="n">
        <v>134000</v>
      </c>
    </row>
    <row r="87">
      <c r="B87" t="inlineStr">
        <is>
          <t>G-904, Hiren R.Vaghasia</t>
        </is>
      </c>
      <c r="C87" t="n">
        <v>50000</v>
      </c>
      <c r="F87" s="253" t="inlineStr">
        <is>
          <t>K-1204, Suman Mohanty</t>
        </is>
      </c>
      <c r="G87" s="253" t="n">
        <v>0</v>
      </c>
      <c r="H87" s="253" t="n">
        <v>219500</v>
      </c>
      <c r="I87" s="253" t="n">
        <v>219500</v>
      </c>
      <c r="K87" s="255" t="inlineStr">
        <is>
          <t>F-703, Gaurav Sanjay Kankraj</t>
        </is>
      </c>
      <c r="L87" s="256" t="n">
        <v>0</v>
      </c>
      <c r="O87" s="257" t="inlineStr">
        <is>
          <t>K-604,Bhavika &amp; Vijay Parshotambhai Patel</t>
        </is>
      </c>
      <c r="P87" s="1115" t="n">
        <v>2000</v>
      </c>
      <c r="R87" t="inlineStr">
        <is>
          <t>H/1302,Yogesh Harikrishna Ardeshna</t>
        </is>
      </c>
      <c r="S87" t="n">
        <v>201000</v>
      </c>
    </row>
    <row r="88">
      <c r="B88" t="inlineStr">
        <is>
          <t>H/1004, Suchi Khare, Saket Khare</t>
        </is>
      </c>
      <c r="C88" t="n">
        <v>50000</v>
      </c>
      <c r="F88" s="253" t="inlineStr">
        <is>
          <t>D-1403,Jay Adthakkar</t>
        </is>
      </c>
      <c r="G88" s="253" t="n">
        <v>186587.7</v>
      </c>
      <c r="H88" s="253" t="n">
        <v>187500</v>
      </c>
      <c r="I88" s="253" t="n">
        <v>912.2999999999884</v>
      </c>
      <c r="K88" s="255" t="inlineStr">
        <is>
          <t>F-704,Mahesh Vrajlal Ghelani</t>
        </is>
      </c>
      <c r="L88" s="256" t="n">
        <v>2970298</v>
      </c>
      <c r="O88" s="257" t="inlineStr">
        <is>
          <t>F-304, Ripal Vikash Jain (Ripal Bhatt)</t>
        </is>
      </c>
      <c r="P88" s="1115" t="n">
        <v>37000</v>
      </c>
      <c r="R88" t="inlineStr">
        <is>
          <t>I-1304,Ruturaj Bhanvaidya</t>
        </is>
      </c>
      <c r="S88" t="n">
        <v>208000</v>
      </c>
    </row>
    <row r="89">
      <c r="B89" t="inlineStr">
        <is>
          <t>H-102, Sakshi Sachin Kapoor</t>
        </is>
      </c>
      <c r="C89" t="n">
        <v>50000</v>
      </c>
      <c r="F89" s="253" t="inlineStr">
        <is>
          <t>J-604,Anil Jayantilal Dave</t>
        </is>
      </c>
      <c r="G89" s="253" t="n">
        <v>0</v>
      </c>
      <c r="H89" s="253" t="n">
        <v>209000</v>
      </c>
      <c r="I89" s="253" t="n">
        <v>209000</v>
      </c>
      <c r="K89" s="255" t="inlineStr">
        <is>
          <t>F-801,Ashokkumar M.Sonagara</t>
        </is>
      </c>
      <c r="L89" s="256" t="n">
        <v>27554</v>
      </c>
      <c r="O89" s="257" t="inlineStr">
        <is>
          <t>I-304, Mehulsinh Ranilsinh Rajput</t>
        </is>
      </c>
      <c r="P89" s="1115" t="n">
        <v>50000</v>
      </c>
      <c r="R89" t="inlineStr">
        <is>
          <t>H-202, Vinod Govindbhai Darji</t>
        </is>
      </c>
      <c r="S89" t="n">
        <v>163000</v>
      </c>
    </row>
    <row r="90">
      <c r="B90" t="inlineStr">
        <is>
          <t>H-202, Vinod Govindbhai Darji</t>
        </is>
      </c>
      <c r="C90" t="n">
        <v>50000</v>
      </c>
      <c r="F90" s="253" t="inlineStr">
        <is>
          <t>K-604,Bhavika &amp; Vijay Parshotambhai Patel</t>
        </is>
      </c>
      <c r="G90" s="253" t="n">
        <v>0</v>
      </c>
      <c r="H90" s="253" t="n">
        <v>218920</v>
      </c>
      <c r="I90" s="253" t="n">
        <v>218920</v>
      </c>
      <c r="K90" s="255" t="inlineStr">
        <is>
          <t>F-802 ,Hemang Bharatbhai Ahya</t>
        </is>
      </c>
      <c r="L90" s="256" t="n">
        <v>43564</v>
      </c>
      <c r="O90" s="257" t="inlineStr">
        <is>
          <t>(as per details)</t>
        </is>
      </c>
      <c r="P90" s="1115" t="n">
        <v>44500</v>
      </c>
      <c r="R90" t="inlineStr">
        <is>
          <t>D/101, Parth Madaan</t>
        </is>
      </c>
      <c r="S90" t="n">
        <v>163000</v>
      </c>
    </row>
    <row r="91">
      <c r="B91" t="inlineStr">
        <is>
          <t>H-204, Riya Agarwal / Mayank Singhal</t>
        </is>
      </c>
      <c r="C91" t="n">
        <v>50000</v>
      </c>
      <c r="F91" s="253" t="inlineStr">
        <is>
          <t>F-304, Ripal Vikash Jain (Ripal Bhatt)</t>
        </is>
      </c>
      <c r="G91" s="253" t="n">
        <v>0</v>
      </c>
      <c r="H91" s="253" t="n">
        <v>211000</v>
      </c>
      <c r="I91" s="253" t="n">
        <v>211000</v>
      </c>
      <c r="K91" s="255" t="inlineStr">
        <is>
          <t>F-903,Krati Shrimali</t>
        </is>
      </c>
      <c r="L91" s="256" t="n">
        <v>313423</v>
      </c>
      <c r="O91" s="259" t="inlineStr">
        <is>
          <t>I-304, Mehulsinh Ranilsinh Rajput</t>
        </is>
      </c>
      <c r="P91" s="1116" t="n"/>
      <c r="R91" t="inlineStr">
        <is>
          <t>F-903,Krati Shrimali</t>
        </is>
      </c>
      <c r="S91" t="n">
        <v>197767</v>
      </c>
    </row>
    <row r="92">
      <c r="B92" t="inlineStr">
        <is>
          <t>H-304, Prakashchandra Tiwari</t>
        </is>
      </c>
      <c r="C92" t="n">
        <v>50000</v>
      </c>
      <c r="F92" s="253" t="inlineStr">
        <is>
          <t>J-502,Ronak N. Parikh</t>
        </is>
      </c>
      <c r="G92" s="253" t="n">
        <v>0</v>
      </c>
      <c r="H92" s="253" t="n">
        <v>225000</v>
      </c>
      <c r="I92" s="253" t="n">
        <v>225000</v>
      </c>
      <c r="K92" s="255" t="inlineStr">
        <is>
          <t>F-904, Anuj Narayan Bhatt</t>
        </is>
      </c>
      <c r="L92" s="256" t="n">
        <v>313422</v>
      </c>
      <c r="O92" s="259" t="inlineStr">
        <is>
          <t>CGST ON COLLECTION</t>
        </is>
      </c>
      <c r="P92" s="1116" t="n"/>
      <c r="R92" t="inlineStr">
        <is>
          <t>F-904, Anuj Narayan Bhatt</t>
        </is>
      </c>
      <c r="S92" t="n">
        <v>197767</v>
      </c>
    </row>
    <row r="93">
      <c r="B93" t="inlineStr">
        <is>
          <t>H-502,Avisha Chintan Shah</t>
        </is>
      </c>
      <c r="C93" t="n">
        <v>50000</v>
      </c>
      <c r="F93" s="253" t="inlineStr">
        <is>
          <t>E-303, Rajendrakumar M.Jobanputra</t>
        </is>
      </c>
      <c r="G93" s="253" t="n">
        <v>175112.7</v>
      </c>
      <c r="H93" s="253" t="n">
        <v>176500</v>
      </c>
      <c r="I93" s="253" t="n">
        <v>1387.299999999988</v>
      </c>
      <c r="K93" s="255" t="inlineStr">
        <is>
          <t>G-1003, Parth Mathurbhai Dobariya</t>
        </is>
      </c>
      <c r="L93" s="256" t="n">
        <v>32332</v>
      </c>
      <c r="O93" s="259" t="inlineStr">
        <is>
          <t>SGST ON COLLECTION</t>
        </is>
      </c>
      <c r="P93" s="1116" t="n"/>
      <c r="R93" t="inlineStr">
        <is>
          <t>G-1203  Ravi Vijaykumar</t>
        </is>
      </c>
      <c r="S93" t="n">
        <v>162500</v>
      </c>
    </row>
    <row r="94">
      <c r="B94" t="inlineStr">
        <is>
          <t>H-601,Rohit Kumar / Kumari Sonalisa</t>
        </is>
      </c>
      <c r="C94" t="n">
        <v>50000</v>
      </c>
      <c r="F94" s="253" t="inlineStr">
        <is>
          <t>H-204, Riya Agarwal / Mayank Singhal</t>
        </is>
      </c>
      <c r="G94" s="253" t="n">
        <v>0</v>
      </c>
      <c r="H94" s="253" t="n">
        <v>195000</v>
      </c>
      <c r="I94" s="253" t="n">
        <v>195000</v>
      </c>
      <c r="K94" s="255" t="inlineStr">
        <is>
          <t>G-1004, Sandeep Popat</t>
        </is>
      </c>
      <c r="L94" s="256" t="n">
        <v>28269</v>
      </c>
      <c r="O94" s="257" t="inlineStr">
        <is>
          <t>E-301, Vikramkumar</t>
        </is>
      </c>
      <c r="P94" s="1115" t="n">
        <v>50000</v>
      </c>
      <c r="R94" t="inlineStr">
        <is>
          <t>P-201,Haum Dutt Gautam</t>
        </is>
      </c>
      <c r="S94" t="n">
        <v>214000</v>
      </c>
    </row>
    <row r="95">
      <c r="B95" t="inlineStr">
        <is>
          <t>H-602, Harish Parmar</t>
        </is>
      </c>
      <c r="C95" t="n">
        <v>50000</v>
      </c>
      <c r="F95" s="253" t="inlineStr">
        <is>
          <t>F-1201, Ashima Sehgal</t>
        </is>
      </c>
      <c r="G95" s="253" t="n">
        <v>0</v>
      </c>
      <c r="H95" s="253" t="n">
        <v>136200</v>
      </c>
      <c r="I95" s="253" t="n">
        <v>136200</v>
      </c>
      <c r="K95" s="255" t="inlineStr">
        <is>
          <t>G-101, Darji Amit Gunvantbhai</t>
        </is>
      </c>
      <c r="L95" s="256" t="n">
        <v>-218700</v>
      </c>
      <c r="O95" s="257" t="inlineStr">
        <is>
          <t>J-502,Ronak N. Parikh</t>
        </is>
      </c>
      <c r="P95" s="1115" t="n">
        <v>39500</v>
      </c>
      <c r="R95" t="inlineStr">
        <is>
          <t>D-604, Kashyap Dave</t>
        </is>
      </c>
      <c r="S95" t="n">
        <v>170000</v>
      </c>
    </row>
    <row r="96">
      <c r="B96" t="inlineStr">
        <is>
          <t>H-703, Pragneshkumar Thakker,</t>
        </is>
      </c>
      <c r="C96" t="n">
        <v>50000</v>
      </c>
      <c r="F96" s="253" t="inlineStr">
        <is>
          <t>H/1302,Yogesh Harikrishna Ardeshna</t>
        </is>
      </c>
      <c r="G96" s="253" t="n">
        <v>200908.85</v>
      </c>
      <c r="H96" s="253" t="n">
        <v>201000</v>
      </c>
      <c r="I96" s="253" t="n">
        <v>91.14999999999418</v>
      </c>
      <c r="K96" s="255" t="inlineStr">
        <is>
          <t>G-104, Daksha Rajeshbhai Darji</t>
        </is>
      </c>
      <c r="L96" s="256" t="n">
        <v>710266</v>
      </c>
      <c r="O96" s="257" t="inlineStr">
        <is>
          <t>E-303, Rajendrakumar M.Jobanputra</t>
        </is>
      </c>
      <c r="P96" s="1115" t="n">
        <v>31500</v>
      </c>
      <c r="R96" t="inlineStr">
        <is>
          <t>C-1302,Chintankumar B. Patel</t>
        </is>
      </c>
      <c r="S96" t="n">
        <v>216000</v>
      </c>
    </row>
    <row r="97">
      <c r="B97" t="inlineStr">
        <is>
          <t>H-704. Pinkesh M. Mehta / Jaimini P.Mehta</t>
        </is>
      </c>
      <c r="C97" t="n">
        <v>50000</v>
      </c>
      <c r="F97" s="253" t="inlineStr">
        <is>
          <t>I-1304,Ruturaj Bhanvaidya</t>
        </is>
      </c>
      <c r="G97" s="253" t="n">
        <v>0</v>
      </c>
      <c r="H97" s="253" t="n">
        <v>252500</v>
      </c>
      <c r="I97" s="253" t="n">
        <v>252500</v>
      </c>
      <c r="K97" s="255" t="inlineStr">
        <is>
          <t>G-1101; Nikul Dashrathbhai Soni</t>
        </is>
      </c>
      <c r="L97" s="256" t="n">
        <v>198020</v>
      </c>
      <c r="O97" s="257" t="inlineStr">
        <is>
          <t>H-204, Riya Agarwal / Mayank Singhal</t>
        </is>
      </c>
      <c r="P97" s="1115" t="n">
        <v>34500</v>
      </c>
      <c r="R97" t="inlineStr">
        <is>
          <t>N-304; Amarjit Kumar</t>
        </is>
      </c>
      <c r="S97" t="n">
        <v>165500</v>
      </c>
    </row>
    <row r="98">
      <c r="B98" t="inlineStr">
        <is>
          <t>H-902, Rajkumar Rao</t>
        </is>
      </c>
      <c r="C98" t="n">
        <v>50000</v>
      </c>
      <c r="F98" s="253" t="inlineStr">
        <is>
          <t>H-202, Vinod Govindbhai Darji</t>
        </is>
      </c>
      <c r="G98" s="253" t="n">
        <v>0</v>
      </c>
      <c r="H98" s="253" t="n">
        <v>198000</v>
      </c>
      <c r="I98" s="253" t="n">
        <v>198000</v>
      </c>
      <c r="K98" s="255" t="inlineStr">
        <is>
          <t>G-1203  Ravi Vijaykumar</t>
        </is>
      </c>
      <c r="L98" s="256" t="n">
        <v>548587</v>
      </c>
      <c r="O98" s="257" t="inlineStr">
        <is>
          <t>F-1201, Ashima Sehgal</t>
        </is>
      </c>
      <c r="P98" s="1115" t="n">
        <v>2200</v>
      </c>
      <c r="R98" t="inlineStr">
        <is>
          <t>J-603,Hriday Abilas Ghoda</t>
        </is>
      </c>
      <c r="S98" t="n">
        <v>181000</v>
      </c>
    </row>
    <row r="99">
      <c r="B99" t="inlineStr">
        <is>
          <t>I-1004,Pruthvik Balshekhar Warrier</t>
        </is>
      </c>
      <c r="C99" t="n">
        <v>50000</v>
      </c>
      <c r="F99" s="253" t="inlineStr">
        <is>
          <t>D/101, Parth Madaan</t>
        </is>
      </c>
      <c r="G99" s="253" t="n">
        <v>0</v>
      </c>
      <c r="H99" s="253" t="n">
        <v>198000</v>
      </c>
      <c r="I99" s="253" t="n">
        <v>198000</v>
      </c>
      <c r="K99" s="255" t="inlineStr">
        <is>
          <t>G-1302, Vishal Kumar Gupta</t>
        </is>
      </c>
      <c r="L99" s="256" t="n">
        <v>39757</v>
      </c>
      <c r="O99" s="257" t="inlineStr">
        <is>
          <t>H/1302,Yogesh Harikrishna Ardeshna</t>
        </is>
      </c>
      <c r="P99" s="1115" t="n">
        <v>43000</v>
      </c>
      <c r="R99" t="inlineStr">
        <is>
          <t>G-1302, Vishal Kumar Gupta</t>
        </is>
      </c>
      <c r="S99" t="n">
        <v>172000</v>
      </c>
    </row>
    <row r="100">
      <c r="B100" t="inlineStr">
        <is>
          <t>I-1102, Dhruv Manishbhai Shah &amp; Bhavikaben M.</t>
        </is>
      </c>
      <c r="C100" t="n">
        <v>50000</v>
      </c>
      <c r="F100" s="253" t="inlineStr">
        <is>
          <t>F-903,Krati Shrimali</t>
        </is>
      </c>
      <c r="G100" s="253" t="n">
        <v>0</v>
      </c>
      <c r="H100" s="253" t="n">
        <v>199967</v>
      </c>
      <c r="I100" s="253" t="n">
        <v>199967</v>
      </c>
      <c r="K100" s="255" t="inlineStr">
        <is>
          <t>G-201, Mahendrabhai Shukla</t>
        </is>
      </c>
      <c r="L100" s="256" t="n">
        <v>3500002</v>
      </c>
      <c r="O100" s="257" t="inlineStr">
        <is>
          <t>I-1304,Ruturaj Bhanvaidya</t>
        </is>
      </c>
      <c r="P100" s="1115" t="n">
        <v>44500</v>
      </c>
      <c r="R100" t="inlineStr">
        <is>
          <t>O-701, Harshil Vipiulbhai Chandarana</t>
        </is>
      </c>
      <c r="S100" t="n">
        <v>164000</v>
      </c>
    </row>
    <row r="101">
      <c r="B101" t="inlineStr">
        <is>
          <t>I-1103,Nikunjbhai Rameshbhai Kagathara</t>
        </is>
      </c>
      <c r="C101" t="n">
        <v>50000</v>
      </c>
      <c r="F101" s="253" t="inlineStr">
        <is>
          <t>F-904, Anuj Narayan Bhatt</t>
        </is>
      </c>
      <c r="G101" s="253" t="n">
        <v>0</v>
      </c>
      <c r="H101" s="253" t="n">
        <v>240045</v>
      </c>
      <c r="I101" s="253" t="n">
        <v>240045</v>
      </c>
      <c r="K101" s="255" t="inlineStr">
        <is>
          <t>G-204, Deepakkumar Bhanwarlal Mewara</t>
        </is>
      </c>
      <c r="L101" s="256" t="n">
        <v>34654</v>
      </c>
      <c r="O101" s="257" t="inlineStr">
        <is>
          <t>H-202, Vinod Govindbhai Darji</t>
        </is>
      </c>
      <c r="P101" s="1115" t="n">
        <v>35000</v>
      </c>
      <c r="R101" t="inlineStr">
        <is>
          <t>L-904,Nikhil Upendra Thakkar</t>
        </is>
      </c>
      <c r="S101" t="n">
        <v>217000</v>
      </c>
    </row>
    <row r="102">
      <c r="B102" t="inlineStr">
        <is>
          <t>I-1104, Aashka Vivek Prajapati</t>
        </is>
      </c>
      <c r="C102" t="n">
        <v>50000</v>
      </c>
      <c r="F102" s="253" t="inlineStr">
        <is>
          <t>P-201,Haum Dutt Gautam</t>
        </is>
      </c>
      <c r="G102" s="253" t="n">
        <v>0</v>
      </c>
      <c r="H102" s="253" t="n">
        <v>259500</v>
      </c>
      <c r="I102" s="253" t="n">
        <v>259500</v>
      </c>
      <c r="K102" s="255" t="inlineStr">
        <is>
          <t>G-502, Prakash Chandra Mishra / Sauravini Mishra</t>
        </is>
      </c>
      <c r="L102" s="256" t="n">
        <v>1567078</v>
      </c>
      <c r="O102" s="257" t="inlineStr">
        <is>
          <t>D/101, Parth Madaan</t>
        </is>
      </c>
      <c r="P102" s="1115" t="n">
        <v>35000</v>
      </c>
      <c r="R102" t="inlineStr">
        <is>
          <t>F-104, Saurav Manibind</t>
        </is>
      </c>
      <c r="S102" t="n">
        <v>163000</v>
      </c>
    </row>
    <row r="103">
      <c r="B103" t="inlineStr">
        <is>
          <t>I-1202, Pratik Ratilal Joshi</t>
        </is>
      </c>
      <c r="C103" t="n">
        <v>50000</v>
      </c>
      <c r="F103" s="253" t="inlineStr">
        <is>
          <t>G-1203  Ravi Vijaykumar</t>
        </is>
      </c>
      <c r="G103" s="253" t="n">
        <v>0</v>
      </c>
      <c r="H103" s="253" t="n">
        <v>197500</v>
      </c>
      <c r="I103" s="253" t="n">
        <v>197500</v>
      </c>
      <c r="K103" s="255" t="inlineStr">
        <is>
          <t>G-503,Sukhdevsingh</t>
        </is>
      </c>
      <c r="L103" s="256" t="n">
        <v>34408</v>
      </c>
      <c r="O103" s="257" t="inlineStr">
        <is>
          <t>F-903,Krati Shrimali</t>
        </is>
      </c>
      <c r="P103" s="1115" t="n">
        <v>2200</v>
      </c>
      <c r="R103" t="inlineStr">
        <is>
          <t>A-902, Puja Chudasama</t>
        </is>
      </c>
      <c r="S103" t="n">
        <v>186500</v>
      </c>
    </row>
    <row r="104">
      <c r="B104" t="inlineStr">
        <is>
          <t>I-1203,Gopal Jiva/ Harjivan G / Dilip G.Jiva</t>
        </is>
      </c>
      <c r="C104" t="n">
        <v>50000</v>
      </c>
      <c r="F104" s="253" t="inlineStr">
        <is>
          <t>C-1302,Chintankumar B. Patel</t>
        </is>
      </c>
      <c r="G104" s="253" t="n">
        <v>0</v>
      </c>
      <c r="H104" s="253" t="n">
        <v>262000</v>
      </c>
      <c r="I104" s="253" t="n">
        <v>262000</v>
      </c>
      <c r="K104" s="255" t="inlineStr">
        <is>
          <t>G-601, Hiren Darji</t>
        </is>
      </c>
      <c r="L104" s="256" t="n">
        <v>32822</v>
      </c>
      <c r="O104" s="257" t="inlineStr">
        <is>
          <t>F-904, Anuj Narayan Bhatt</t>
        </is>
      </c>
      <c r="P104" s="1115" t="n">
        <v>42278</v>
      </c>
      <c r="R104" t="inlineStr">
        <is>
          <t>G-802,Prakashchandra B. Joshi</t>
        </is>
      </c>
      <c r="S104" t="n">
        <v>171500</v>
      </c>
    </row>
    <row r="105">
      <c r="B105" t="inlineStr">
        <is>
          <t>I-1304,Ruturaj Bhanvaidya</t>
        </is>
      </c>
      <c r="C105" t="n">
        <v>50000</v>
      </c>
      <c r="F105" s="253" t="inlineStr">
        <is>
          <t>N-304; Amarjit Kumar</t>
        </is>
      </c>
      <c r="G105" s="253" t="n">
        <v>0</v>
      </c>
      <c r="H105" s="253" t="n">
        <v>201770</v>
      </c>
      <c r="I105" s="253" t="n">
        <v>201770</v>
      </c>
      <c r="K105" s="255" t="inlineStr">
        <is>
          <t>G-603, Nitin Raghunath Devle</t>
        </is>
      </c>
      <c r="L105" s="256" t="n">
        <v>39698</v>
      </c>
      <c r="O105" s="257" t="inlineStr">
        <is>
          <t>G-1203  Ravi Vijaykumar</t>
        </is>
      </c>
      <c r="P105" s="1115" t="n">
        <v>35000</v>
      </c>
      <c r="R105" t="inlineStr">
        <is>
          <t>O-203, Manish Kumar Gupta</t>
        </is>
      </c>
      <c r="S105" t="n">
        <v>171500</v>
      </c>
    </row>
    <row r="106">
      <c r="B106" t="inlineStr">
        <is>
          <t>I-203, Deepak Kumar Jeswani,Vanita Makhija</t>
        </is>
      </c>
      <c r="C106" t="n">
        <v>50000</v>
      </c>
      <c r="F106" s="253" t="inlineStr">
        <is>
          <t>J-603,Hriday Abilas Ghoda</t>
        </is>
      </c>
      <c r="G106" s="253" t="n">
        <v>0</v>
      </c>
      <c r="H106" s="253" t="n">
        <v>220000</v>
      </c>
      <c r="I106" s="253" t="n">
        <v>220000</v>
      </c>
      <c r="K106" s="255" t="inlineStr">
        <is>
          <t>G-802,Prakashchandra B. Joshi</t>
        </is>
      </c>
      <c r="L106" s="256" t="n">
        <v>34654</v>
      </c>
      <c r="O106" s="257" t="inlineStr">
        <is>
          <t>P-201,Haum Dutt Gautam</t>
        </is>
      </c>
      <c r="P106" s="1115" t="n">
        <v>45500</v>
      </c>
      <c r="R106" t="inlineStr">
        <is>
          <t>E-101,Abhishek Dubey</t>
        </is>
      </c>
      <c r="S106" t="n">
        <v>195000</v>
      </c>
    </row>
    <row r="107">
      <c r="B107" t="inlineStr">
        <is>
          <t>I-301 Ankit Dharmendra Jani</t>
        </is>
      </c>
      <c r="C107" t="n">
        <v>50000</v>
      </c>
      <c r="F107" s="253" t="inlineStr">
        <is>
          <t>G-1302, Vishal Kumar Gupta</t>
        </is>
      </c>
      <c r="G107" s="253" t="n">
        <v>0</v>
      </c>
      <c r="H107" s="253" t="n">
        <v>209000</v>
      </c>
      <c r="I107" s="253" t="n">
        <v>209000</v>
      </c>
      <c r="K107" s="255" t="inlineStr">
        <is>
          <t>G/803 Jatin Maheshchandra Gujella</t>
        </is>
      </c>
      <c r="L107" s="256" t="n">
        <v>423396</v>
      </c>
      <c r="O107" s="257" t="inlineStr">
        <is>
          <t>N-304; Amarjit Kumar</t>
        </is>
      </c>
      <c r="P107" s="1115" t="n">
        <v>36270</v>
      </c>
      <c r="R107" t="inlineStr">
        <is>
          <t>C-204, Parin Rakeshkumar Bodiwala</t>
        </is>
      </c>
      <c r="S107" t="n">
        <v>167250</v>
      </c>
    </row>
    <row r="108">
      <c r="B108" t="inlineStr">
        <is>
          <t>I-304, Mehulsinh Ranilsinh Rajput</t>
        </is>
      </c>
      <c r="C108" t="n">
        <v>50000</v>
      </c>
      <c r="F108" s="253" t="inlineStr">
        <is>
          <t>O-701, Harshil Vipiulbhai Chandarana</t>
        </is>
      </c>
      <c r="G108" s="253" t="n">
        <v>0</v>
      </c>
      <c r="H108" s="253" t="n">
        <v>35500</v>
      </c>
      <c r="I108" s="253" t="n">
        <v>35500</v>
      </c>
      <c r="K108" s="255" t="inlineStr">
        <is>
          <t>G-901, Govindbhai Rajabhai Dhariaparmar</t>
        </is>
      </c>
      <c r="L108" s="256" t="n">
        <v>0</v>
      </c>
      <c r="O108" s="257" t="inlineStr">
        <is>
          <t>C-1302,Chintankumar B. Patel</t>
        </is>
      </c>
      <c r="P108" s="1115" t="n">
        <v>46000</v>
      </c>
      <c r="R108" t="inlineStr">
        <is>
          <t>F-802 ,Hemang Bharatbhai Ahya</t>
        </is>
      </c>
      <c r="S108" t="n">
        <v>215600</v>
      </c>
    </row>
    <row r="109">
      <c r="B109" t="inlineStr">
        <is>
          <t>I-402, Rajeevkumar Pathak</t>
        </is>
      </c>
      <c r="C109" t="n">
        <v>50000</v>
      </c>
      <c r="F109" s="253" t="inlineStr">
        <is>
          <t>L-904,Nikhil Upendra Thakkar</t>
        </is>
      </c>
      <c r="G109" s="253" t="n">
        <v>0</v>
      </c>
      <c r="H109" s="253" t="n">
        <v>264000</v>
      </c>
      <c r="I109" s="253" t="n">
        <v>264000</v>
      </c>
      <c r="K109" s="255" t="inlineStr">
        <is>
          <t>G-904, Hiren R.Vaghasia</t>
        </is>
      </c>
      <c r="L109" s="256" t="n">
        <v>548587</v>
      </c>
      <c r="O109" s="257" t="inlineStr">
        <is>
          <t>J-603,Hriday Abilas Ghoda</t>
        </is>
      </c>
      <c r="P109" s="1115" t="n">
        <v>39000</v>
      </c>
      <c r="R109" t="inlineStr">
        <is>
          <t>D-1002, Kishorsinh Anopsinh Jadeja</t>
        </is>
      </c>
      <c r="S109" t="n">
        <v>163000</v>
      </c>
    </row>
    <row r="110">
      <c r="B110" t="inlineStr">
        <is>
          <t>I-404,Neha Rajesh Bharti</t>
        </is>
      </c>
      <c r="C110" t="n">
        <v>50000</v>
      </c>
      <c r="F110" s="253" t="inlineStr">
        <is>
          <t>F-104, Saurav Manibind</t>
        </is>
      </c>
      <c r="G110" s="253" t="n">
        <v>0</v>
      </c>
      <c r="H110" s="253" t="n">
        <v>198200</v>
      </c>
      <c r="I110" s="253" t="n">
        <v>198200</v>
      </c>
      <c r="K110" s="255" t="inlineStr">
        <is>
          <t>H/1004, Suchi Khare, Saket Khare</t>
        </is>
      </c>
      <c r="L110" s="256" t="n">
        <v>872388</v>
      </c>
      <c r="O110" s="257" t="inlineStr">
        <is>
          <t>G-1302, Vishal Kumar Gupta</t>
        </is>
      </c>
      <c r="P110" s="1115" t="n">
        <v>37000</v>
      </c>
      <c r="R110" t="inlineStr">
        <is>
          <t>C/503,Rajneesh Bakshi</t>
        </is>
      </c>
      <c r="S110" t="n">
        <v>200000</v>
      </c>
    </row>
    <row r="111">
      <c r="B111" t="inlineStr">
        <is>
          <t>I-502,Dhaval Devanshubhai Trivedi</t>
        </is>
      </c>
      <c r="C111" t="n">
        <v>50000</v>
      </c>
      <c r="F111" s="253" t="inlineStr">
        <is>
          <t>K/302, Soumendrakumar Behera</t>
        </is>
      </c>
      <c r="G111" s="253" t="n">
        <v>0</v>
      </c>
      <c r="H111" s="253" t="n">
        <v>265500</v>
      </c>
      <c r="I111" s="253" t="n">
        <v>265500</v>
      </c>
      <c r="K111" s="255" t="inlineStr">
        <is>
          <t>H-102, Sakshi Sachin Kapoor</t>
        </is>
      </c>
      <c r="L111" s="256" t="n">
        <v>493818</v>
      </c>
      <c r="O111" s="257" t="inlineStr">
        <is>
          <t>O-701, Harshil Vipiulbhai Chandarana</t>
        </is>
      </c>
      <c r="P111" s="1115" t="n">
        <v>35500</v>
      </c>
      <c r="R111" t="inlineStr">
        <is>
          <t>I-1004,Pruthvik Balshekhar Warrier</t>
        </is>
      </c>
      <c r="S111" t="n">
        <v>218100</v>
      </c>
    </row>
    <row r="112">
      <c r="B112" t="inlineStr">
        <is>
          <t>I-504,Devam Kashyapbhai Pandya</t>
        </is>
      </c>
      <c r="C112" t="n">
        <v>50000</v>
      </c>
      <c r="F112" s="253" t="inlineStr">
        <is>
          <t>A-902, Puja Chudasama</t>
        </is>
      </c>
      <c r="G112" s="253" t="n">
        <v>0</v>
      </c>
      <c r="H112" s="253" t="n">
        <v>226500</v>
      </c>
      <c r="I112" s="253" t="n">
        <v>226500</v>
      </c>
      <c r="K112" s="255" t="inlineStr">
        <is>
          <t>H/1302,Yogesh Harikrishna Ardeshna</t>
        </is>
      </c>
      <c r="L112" s="256" t="n">
        <v>223762</v>
      </c>
      <c r="O112" s="257" t="inlineStr">
        <is>
          <t>L-904,Nikhil Upendra Thakkar</t>
        </is>
      </c>
      <c r="P112" s="1115" t="n">
        <v>47000</v>
      </c>
      <c r="R112" t="inlineStr">
        <is>
          <t>K-703,Tejas Hareshbhai Pansaniya</t>
        </is>
      </c>
      <c r="S112" t="n">
        <v>216000</v>
      </c>
    </row>
    <row r="113">
      <c r="B113" t="inlineStr">
        <is>
          <t>I-603,Mamtaben Champaklal Soni</t>
        </is>
      </c>
      <c r="C113" t="n">
        <v>50000</v>
      </c>
      <c r="F113" s="253" t="inlineStr">
        <is>
          <t>G-802,Prakashchandra B. Joshi</t>
        </is>
      </c>
      <c r="G113" s="253" t="n">
        <v>0</v>
      </c>
      <c r="H113" s="253" t="n">
        <v>208500</v>
      </c>
      <c r="I113" s="253" t="n">
        <v>208500</v>
      </c>
      <c r="K113" s="255" t="inlineStr">
        <is>
          <t>H-202, Vinod Govindbhai Darji</t>
        </is>
      </c>
      <c r="L113" s="256" t="n">
        <v>32828</v>
      </c>
      <c r="O113" s="257" t="inlineStr">
        <is>
          <t>F-104, Saurav Manibind</t>
        </is>
      </c>
      <c r="P113" s="1115" t="n">
        <v>35200</v>
      </c>
      <c r="R113" t="inlineStr">
        <is>
          <t>G-204, Deepakkumar Bhanwarlal Mewara</t>
        </is>
      </c>
      <c r="S113" t="n">
        <v>171500</v>
      </c>
    </row>
    <row r="114">
      <c r="B114" t="inlineStr">
        <is>
          <t>I-701, Narendra Hanumant  Jog</t>
        </is>
      </c>
      <c r="C114" t="n">
        <v>50000</v>
      </c>
      <c r="F114" s="253" t="inlineStr">
        <is>
          <t>O-203, Manish Kumar Gupta</t>
        </is>
      </c>
      <c r="G114" s="253" t="n">
        <v>0</v>
      </c>
      <c r="H114" s="253" t="n">
        <v>207500</v>
      </c>
      <c r="I114" s="253" t="n">
        <v>207500</v>
      </c>
      <c r="K114" s="255" t="inlineStr">
        <is>
          <t>H-204, Riya Agarwal / Mayank Singhal</t>
        </is>
      </c>
      <c r="L114" s="256" t="n">
        <v>222446</v>
      </c>
      <c r="O114" s="257" t="inlineStr">
        <is>
          <t>K/302, Soumendrakumar Behera</t>
        </is>
      </c>
      <c r="P114" s="1115" t="n">
        <v>46500</v>
      </c>
      <c r="R114" t="inlineStr">
        <is>
          <t>F-202, Nandaben J. Parmar, Priyanka A. Chauhan</t>
        </is>
      </c>
      <c r="S114" t="n">
        <v>154860</v>
      </c>
    </row>
    <row r="115">
      <c r="B115" t="inlineStr">
        <is>
          <t>I-703,Samir Suryakant Pallav</t>
        </is>
      </c>
      <c r="C115" t="n">
        <v>50000</v>
      </c>
      <c r="F115" s="253" t="inlineStr">
        <is>
          <t>E-101,Abhishek Dubey</t>
        </is>
      </c>
      <c r="G115" s="253" t="n">
        <v>0</v>
      </c>
      <c r="H115" s="253" t="n">
        <v>236500</v>
      </c>
      <c r="I115" s="253" t="n">
        <v>236500</v>
      </c>
      <c r="K115" s="255" t="inlineStr">
        <is>
          <t>H-304, Prakashchandra Tiwari</t>
        </is>
      </c>
      <c r="L115" s="256" t="n">
        <v>863248</v>
      </c>
      <c r="O115" s="257" t="inlineStr">
        <is>
          <t>A-902, Puja Chudasama</t>
        </is>
      </c>
      <c r="P115" s="1115" t="n">
        <v>40000</v>
      </c>
      <c r="R115" t="inlineStr">
        <is>
          <t>J-402, Vipul Dinkarray Dave</t>
        </is>
      </c>
      <c r="S115" t="n">
        <v>181000</v>
      </c>
    </row>
    <row r="116">
      <c r="B116" t="inlineStr">
        <is>
          <t>I-801, Richa Sharma</t>
        </is>
      </c>
      <c r="C116" t="n">
        <v>50000</v>
      </c>
      <c r="F116" s="253" t="inlineStr">
        <is>
          <t>C-204, Parin Rakeshkumar Bodiwala</t>
        </is>
      </c>
      <c r="G116" s="253" t="n">
        <v>0</v>
      </c>
      <c r="H116" s="253" t="n">
        <v>203850</v>
      </c>
      <c r="I116" s="253" t="n">
        <v>203850</v>
      </c>
      <c r="K116" s="255" t="inlineStr">
        <is>
          <t>H-502,Avisha Chintan Shah</t>
        </is>
      </c>
      <c r="L116" s="256" t="n">
        <v>305694</v>
      </c>
      <c r="O116" s="257" t="inlineStr">
        <is>
          <t>G-802,Prakashchandra B. Joshi</t>
        </is>
      </c>
      <c r="P116" s="1115" t="n">
        <v>37000</v>
      </c>
      <c r="R116" t="inlineStr">
        <is>
          <t>J-404, Chirag Satapara</t>
        </is>
      </c>
      <c r="S116" t="n">
        <v>215200</v>
      </c>
    </row>
    <row r="117">
      <c r="B117" t="inlineStr">
        <is>
          <t>I-804,Anish Mahendra Bhatt &amp; Maya A.Bhatt</t>
        </is>
      </c>
      <c r="C117" t="n">
        <v>50000</v>
      </c>
      <c r="F117" s="253" t="inlineStr">
        <is>
          <t>F-802 ,Hemang Bharatbhai Ahya</t>
        </is>
      </c>
      <c r="G117" s="253" t="n">
        <v>0</v>
      </c>
      <c r="H117" s="253" t="n">
        <v>261600</v>
      </c>
      <c r="I117" s="253" t="n">
        <v>261600</v>
      </c>
      <c r="K117" s="255" t="inlineStr">
        <is>
          <t>H-601,Rohit Kumar / Kumari Sonalisa</t>
        </is>
      </c>
      <c r="L117" s="256" t="n">
        <v>39421</v>
      </c>
      <c r="O117" s="257" t="inlineStr">
        <is>
          <t>E-101,Abhishek Dubey</t>
        </is>
      </c>
      <c r="P117" s="1115" t="n">
        <v>41500</v>
      </c>
      <c r="R117" t="inlineStr">
        <is>
          <t>K/804, Dineshchandra C. Shah</t>
        </is>
      </c>
      <c r="S117" t="n">
        <v>147500</v>
      </c>
    </row>
    <row r="118">
      <c r="B118" t="inlineStr">
        <is>
          <t>I-902, Nilesh Odedara</t>
        </is>
      </c>
      <c r="C118" t="n">
        <v>50000</v>
      </c>
      <c r="F118" s="253" t="inlineStr">
        <is>
          <t>D-1002, Kishorsinh Anopsinh Jadeja</t>
        </is>
      </c>
      <c r="G118" s="253" t="n">
        <v>0</v>
      </c>
      <c r="H118" s="253" t="n">
        <v>198200</v>
      </c>
      <c r="I118" s="253" t="n">
        <v>198200</v>
      </c>
      <c r="K118" s="255" t="inlineStr">
        <is>
          <t>H-602, Harish Parmar</t>
        </is>
      </c>
      <c r="L118" s="256" t="n">
        <v>37628</v>
      </c>
      <c r="O118" s="257" t="inlineStr">
        <is>
          <t>C-204, Parin Rakeshkumar Bodiwala</t>
        </is>
      </c>
      <c r="P118" s="1115" t="n">
        <v>36600</v>
      </c>
      <c r="R118" t="inlineStr">
        <is>
          <t>P-402,Chandan Kumar Sharma</t>
        </is>
      </c>
      <c r="S118" t="n">
        <v>216600</v>
      </c>
    </row>
    <row r="119">
      <c r="B119" t="inlineStr">
        <is>
          <t>J/501 Mayank Agrawal</t>
        </is>
      </c>
      <c r="C119" t="n">
        <v>50000</v>
      </c>
      <c r="F119" s="253" t="inlineStr">
        <is>
          <t>C/503,Rajneesh Bakshi</t>
        </is>
      </c>
      <c r="G119" s="253" t="n">
        <v>0</v>
      </c>
      <c r="H119" s="253" t="n">
        <v>242800</v>
      </c>
      <c r="I119" s="253" t="n">
        <v>242800</v>
      </c>
      <c r="K119" s="255" t="inlineStr">
        <is>
          <t>H-703, Pragneshkumar Thakker,</t>
        </is>
      </c>
      <c r="L119" s="256" t="n">
        <v>33131</v>
      </c>
      <c r="O119" s="257" t="inlineStr">
        <is>
          <t>F-802 ,Hemang Bharatbhai Ahya</t>
        </is>
      </c>
      <c r="P119" s="1115" t="n">
        <v>46000</v>
      </c>
      <c r="R119" t="inlineStr">
        <is>
          <t>K/603, Ramchandra Bhikha Mahajan</t>
        </is>
      </c>
      <c r="S119" t="n">
        <v>196000</v>
      </c>
    </row>
    <row r="120">
      <c r="B120" t="inlineStr">
        <is>
          <t>J-1003,Jagdish Pankajkumar Patel</t>
        </is>
      </c>
      <c r="C120" t="n">
        <v>50000</v>
      </c>
      <c r="F120" s="253" t="inlineStr">
        <is>
          <t>K-701, Amita Kamlesh Soni</t>
        </is>
      </c>
      <c r="G120" s="253" t="n">
        <v>0</v>
      </c>
      <c r="H120" s="253" t="n">
        <v>182300</v>
      </c>
      <c r="I120" s="253" t="n">
        <v>182300</v>
      </c>
      <c r="K120" s="255" t="inlineStr">
        <is>
          <t>H-704. Pinkesh M. Mehta / Jaimini P.Mehta</t>
        </is>
      </c>
      <c r="L120" s="256" t="n">
        <v>37977</v>
      </c>
      <c r="O120" s="257" t="inlineStr">
        <is>
          <t>D-1002, Kishorsinh Anopsinh Jadeja</t>
        </is>
      </c>
      <c r="P120" s="1115" t="n">
        <v>35200</v>
      </c>
      <c r="R120" t="inlineStr">
        <is>
          <t>D/1201 Shobhit Trapasiya</t>
        </is>
      </c>
      <c r="S120" t="n">
        <v>182500</v>
      </c>
    </row>
    <row r="121">
      <c r="B121" t="inlineStr">
        <is>
          <t>J-1004, Dipesh Bharartbhai Pandya</t>
        </is>
      </c>
      <c r="C121" t="n">
        <v>50000</v>
      </c>
      <c r="F121" s="253" t="inlineStr">
        <is>
          <t>I-1004,Pruthvik Balshekhar Warrier</t>
        </is>
      </c>
      <c r="G121" s="253" t="n">
        <v>0</v>
      </c>
      <c r="H121" s="253" t="n">
        <v>264600</v>
      </c>
      <c r="I121" s="253" t="n">
        <v>264600</v>
      </c>
      <c r="K121" s="255" t="inlineStr">
        <is>
          <t>H-902, Rajkumar Rao</t>
        </is>
      </c>
      <c r="L121" s="256" t="n">
        <v>548870</v>
      </c>
      <c r="O121" s="257" t="inlineStr">
        <is>
          <t>C/503,Rajneesh Bakshi</t>
        </is>
      </c>
      <c r="P121" s="1115" t="n">
        <v>42800</v>
      </c>
      <c r="R121" t="inlineStr">
        <is>
          <t>I-203, Deepak Kumar Jeswani,Vanita Makhija</t>
        </is>
      </c>
      <c r="S121" t="n">
        <v>195000</v>
      </c>
    </row>
    <row r="122">
      <c r="B122" t="inlineStr">
        <is>
          <t>J-1103, Zinkal Siddhath Kinariwala</t>
        </is>
      </c>
      <c r="C122" t="n">
        <v>50000</v>
      </c>
      <c r="F122" s="253" t="inlineStr">
        <is>
          <t>K-703,Tejas Hareshbhai Pansaniya</t>
        </is>
      </c>
      <c r="G122" s="253" t="n">
        <v>0</v>
      </c>
      <c r="H122" s="253" t="n">
        <v>262000</v>
      </c>
      <c r="I122" s="253" t="n">
        <v>262000</v>
      </c>
      <c r="K122" s="255" t="inlineStr">
        <is>
          <t>I-1002, Manan Ashokkumar Shah</t>
        </is>
      </c>
      <c r="L122" s="256" t="n">
        <v>3465346</v>
      </c>
      <c r="O122" s="257" t="inlineStr">
        <is>
          <t>K-701, Amita Kamlesh Soni</t>
        </is>
      </c>
      <c r="P122" s="1115" t="n">
        <v>2200</v>
      </c>
      <c r="R122" t="inlineStr">
        <is>
          <t>G/803 Jatin Maheshchandra Gujella</t>
        </is>
      </c>
      <c r="S122" t="n">
        <v>135400</v>
      </c>
    </row>
    <row r="123">
      <c r="B123" t="inlineStr">
        <is>
          <t>J-1104, Hiralal Kushwaha &amp; Roopa Kushwaha</t>
        </is>
      </c>
      <c r="C123" t="n">
        <v>50000</v>
      </c>
      <c r="F123" s="253" t="inlineStr">
        <is>
          <t>G-204, Deepakkumar Bhanwarlal Mewara</t>
        </is>
      </c>
      <c r="G123" s="253" t="n">
        <v>0</v>
      </c>
      <c r="H123" s="253" t="n">
        <v>208500</v>
      </c>
      <c r="I123" s="253" t="n">
        <v>208500</v>
      </c>
      <c r="K123" s="255" t="inlineStr">
        <is>
          <t>I-1004,Pruthvik Balshekhar Warrier</t>
        </is>
      </c>
      <c r="L123" s="256" t="n">
        <v>44060</v>
      </c>
      <c r="O123" s="257" t="inlineStr">
        <is>
          <t>I-1004,Pruthvik Balshekhar Warrier</t>
        </is>
      </c>
      <c r="P123" s="1115" t="n">
        <v>46500</v>
      </c>
      <c r="R123" t="inlineStr">
        <is>
          <t>O/1004, Soliya Naval Bhikhubhai</t>
        </is>
      </c>
      <c r="S123" t="n">
        <v>170000</v>
      </c>
    </row>
    <row r="124">
      <c r="B124" t="inlineStr">
        <is>
          <t>J-402, Vipul Dinkarray Dave</t>
        </is>
      </c>
      <c r="C124" t="n">
        <v>50000</v>
      </c>
      <c r="F124" s="253" t="inlineStr">
        <is>
          <t>F-202, Nandaben J. Parmar, Priyanka A. Chauhan</t>
        </is>
      </c>
      <c r="G124" s="253" t="n">
        <v>0</v>
      </c>
      <c r="H124" s="253" t="n">
        <v>157060</v>
      </c>
      <c r="I124" s="253" t="n">
        <v>157060</v>
      </c>
      <c r="K124" s="255" t="inlineStr">
        <is>
          <t>I-1102, Dhruv Manishbhai Shah &amp; Bhavikaben M.</t>
        </is>
      </c>
      <c r="L124" s="256" t="n">
        <v>43892</v>
      </c>
      <c r="O124" s="257" t="inlineStr">
        <is>
          <t>K-703,Tejas Hareshbhai Pansaniya</t>
        </is>
      </c>
      <c r="P124" s="1115" t="n">
        <v>46000</v>
      </c>
      <c r="R124" t="inlineStr">
        <is>
          <t>E-701,Sanket Govinbhi Panchal</t>
        </is>
      </c>
      <c r="S124" t="n">
        <v>151100</v>
      </c>
    </row>
    <row r="125">
      <c r="B125" t="inlineStr">
        <is>
          <t>J-404, Chirag Satapara</t>
        </is>
      </c>
      <c r="C125" t="n">
        <v>50000</v>
      </c>
      <c r="F125" s="253" t="inlineStr">
        <is>
          <t>J-402, Vipul Dinkarray Dave</t>
        </is>
      </c>
      <c r="G125" s="253" t="n">
        <v>0</v>
      </c>
      <c r="H125" s="253" t="n">
        <v>219500</v>
      </c>
      <c r="I125" s="253" t="n">
        <v>219500</v>
      </c>
      <c r="K125" s="255" t="inlineStr">
        <is>
          <t>I-1103,Nikunjbhai Rameshbhai Kagathara</t>
        </is>
      </c>
      <c r="L125" s="256" t="n">
        <v>508634</v>
      </c>
      <c r="O125" s="257" t="inlineStr">
        <is>
          <t>G-204, Deepakkumar Bhanwarlal Mewara</t>
        </is>
      </c>
      <c r="P125" s="1115" t="n">
        <v>37000</v>
      </c>
      <c r="R125" t="inlineStr">
        <is>
          <t>G-901, Govindbhai Rajabhai Dhariaparmar</t>
        </is>
      </c>
      <c r="S125" t="n">
        <v>163000</v>
      </c>
    </row>
    <row r="126">
      <c r="B126" t="inlineStr">
        <is>
          <t>J-502,Ronak N. Parikh</t>
        </is>
      </c>
      <c r="C126" t="n">
        <v>50000</v>
      </c>
      <c r="F126" s="253" t="inlineStr">
        <is>
          <t>J-404, Chirag Satapara</t>
        </is>
      </c>
      <c r="G126" s="253" t="n">
        <v>0</v>
      </c>
      <c r="H126" s="253" t="n">
        <v>261100</v>
      </c>
      <c r="I126" s="253" t="n">
        <v>261100</v>
      </c>
      <c r="K126" s="255" t="inlineStr">
        <is>
          <t>I-1104, Aashka Vivek Prajapati</t>
        </is>
      </c>
      <c r="L126" s="256" t="n">
        <v>37737</v>
      </c>
      <c r="O126" s="257" t="inlineStr">
        <is>
          <t>F-202, Nandaben J. Parmar, Priyanka A. Chauhan</t>
        </is>
      </c>
      <c r="P126" s="1115" t="n">
        <v>2200</v>
      </c>
      <c r="R126" t="inlineStr">
        <is>
          <t>F/1102,Meet Yogeshbhai Sheth</t>
        </is>
      </c>
      <c r="S126" t="n">
        <v>162500</v>
      </c>
    </row>
    <row r="127">
      <c r="B127" t="inlineStr">
        <is>
          <t>J-603,Hriday Abilas Ghoda</t>
        </is>
      </c>
      <c r="C127" t="n">
        <v>50000</v>
      </c>
      <c r="F127" s="253" t="inlineStr">
        <is>
          <t>K/804, Dineshchandra C. Shah</t>
        </is>
      </c>
      <c r="G127" s="253" t="n">
        <v>0</v>
      </c>
      <c r="H127" s="253" t="n">
        <v>179500</v>
      </c>
      <c r="I127" s="253" t="n">
        <v>179500</v>
      </c>
      <c r="K127" s="255" t="inlineStr">
        <is>
          <t>I-1202, Pratik Ratilal Joshi</t>
        </is>
      </c>
      <c r="L127" s="256" t="n">
        <v>-313700</v>
      </c>
      <c r="O127" s="257" t="inlineStr">
        <is>
          <t>J-402, Vipul Dinkarray Dave</t>
        </is>
      </c>
      <c r="P127" s="1115" t="n">
        <v>38500</v>
      </c>
      <c r="R127" t="inlineStr">
        <is>
          <t>H-703, Pragneshkumar Thakker,</t>
        </is>
      </c>
      <c r="S127" t="n">
        <v>164000</v>
      </c>
    </row>
    <row r="128">
      <c r="B128" t="inlineStr">
        <is>
          <t>J-604,Anil Jayantilal Dave</t>
        </is>
      </c>
      <c r="C128" t="n">
        <v>50000</v>
      </c>
      <c r="F128" s="253" t="inlineStr">
        <is>
          <t>P-402,Chandan Kumar Sharma</t>
        </is>
      </c>
      <c r="G128" s="253" t="n">
        <v>0</v>
      </c>
      <c r="H128" s="253" t="n">
        <v>262600</v>
      </c>
      <c r="I128" s="253" t="n">
        <v>262600</v>
      </c>
      <c r="K128" s="255" t="inlineStr">
        <is>
          <t>I-1203,Gopal Jiva/ Harjivan G / Dilip G.Jiva</t>
        </is>
      </c>
      <c r="L128" s="256" t="n">
        <v>506148</v>
      </c>
      <c r="O128" s="257" t="inlineStr">
        <is>
          <t>J-404, Chirag Satapara</t>
        </is>
      </c>
      <c r="P128" s="1115" t="n">
        <v>45900</v>
      </c>
      <c r="R128" t="inlineStr">
        <is>
          <t>O/903 Rahul / Mahendra N.Andharia</t>
        </is>
      </c>
      <c r="S128" t="n">
        <v>158000</v>
      </c>
    </row>
    <row r="129">
      <c r="B129" t="inlineStr">
        <is>
          <t>J-704,Meghana Soni</t>
        </is>
      </c>
      <c r="C129" t="n">
        <v>50000</v>
      </c>
      <c r="F129" s="253" t="inlineStr">
        <is>
          <t>K/603, Ramchandra Bhikha Mahajan</t>
        </is>
      </c>
      <c r="G129" s="253" t="n">
        <v>0</v>
      </c>
      <c r="H129" s="253" t="n">
        <v>238000</v>
      </c>
      <c r="I129" s="253" t="n">
        <v>238000</v>
      </c>
      <c r="K129" s="255" t="inlineStr">
        <is>
          <t>I-1303, Geetaben Manani</t>
        </is>
      </c>
      <c r="L129" s="256" t="n">
        <v>2815584</v>
      </c>
      <c r="O129" s="257" t="inlineStr">
        <is>
          <t>K/804, Dineshchandra C. Shah</t>
        </is>
      </c>
      <c r="P129" s="1115" t="n">
        <v>32000</v>
      </c>
      <c r="R129" t="inlineStr">
        <is>
          <t>I-504,Devam Kashyapbhai Pandya</t>
        </is>
      </c>
      <c r="S129" t="n">
        <v>172000</v>
      </c>
    </row>
    <row r="130">
      <c r="B130" t="inlineStr">
        <is>
          <t>J-802, Rushabh Shah</t>
        </is>
      </c>
      <c r="C130" t="n">
        <v>50000</v>
      </c>
      <c r="F130" s="253" t="inlineStr">
        <is>
          <t>D/1201 Shobhit Trapasiya</t>
        </is>
      </c>
      <c r="G130" s="253" t="n">
        <v>0</v>
      </c>
      <c r="H130" s="253" t="n">
        <v>221500</v>
      </c>
      <c r="I130" s="253" t="n">
        <v>221500</v>
      </c>
      <c r="K130" s="255" t="inlineStr">
        <is>
          <t>I-1304,Ruturaj Bhanvaidya</t>
        </is>
      </c>
      <c r="L130" s="256" t="n">
        <v>4324</v>
      </c>
      <c r="O130" s="257" t="inlineStr">
        <is>
          <t>P-402,Chandan Kumar Sharma</t>
        </is>
      </c>
      <c r="P130" s="1115" t="n">
        <v>46000</v>
      </c>
      <c r="R130" t="inlineStr">
        <is>
          <t>H-902, Rajkumar Rao</t>
        </is>
      </c>
      <c r="S130" t="n">
        <v>163990</v>
      </c>
    </row>
    <row r="131">
      <c r="B131" t="inlineStr">
        <is>
          <t>J-803, Pareshkumar M &amp; Rekhaben P. Popat</t>
        </is>
      </c>
      <c r="C131" t="n">
        <v>50000</v>
      </c>
      <c r="F131" s="253" t="inlineStr">
        <is>
          <t>I-203, Deepak Kumar Jeswani,Vanita Makhija</t>
        </is>
      </c>
      <c r="G131" s="253" t="n">
        <v>0</v>
      </c>
      <c r="H131" s="253" t="n">
        <v>197200</v>
      </c>
      <c r="I131" s="253" t="n">
        <v>197200</v>
      </c>
      <c r="K131" s="255" t="inlineStr">
        <is>
          <t>I-201,Ajitbhai Kathi</t>
        </is>
      </c>
      <c r="L131" s="256" t="n">
        <v>304952</v>
      </c>
      <c r="O131" s="257" t="inlineStr">
        <is>
          <t>K/603, Ramchandra Bhikha Mahajan</t>
        </is>
      </c>
      <c r="P131" s="1115" t="n">
        <v>42000</v>
      </c>
      <c r="R131" t="inlineStr">
        <is>
          <t>O-803, Rahul M.Andharia</t>
        </is>
      </c>
      <c r="S131" t="n">
        <v>189000</v>
      </c>
    </row>
    <row r="132">
      <c r="B132" t="inlineStr">
        <is>
          <t>K,503 Ishwar Harjibhai Kanjariya</t>
        </is>
      </c>
      <c r="C132" t="n">
        <v>50000</v>
      </c>
      <c r="F132" s="253" t="inlineStr">
        <is>
          <t>G/803 Jatin Maheshchandra Gujella</t>
        </is>
      </c>
      <c r="G132" s="253" t="n">
        <v>0</v>
      </c>
      <c r="H132" s="253" t="n">
        <v>137600</v>
      </c>
      <c r="I132" s="253" t="n">
        <v>137600</v>
      </c>
      <c r="K132" s="255" t="inlineStr">
        <is>
          <t>I-203, Deepak Kumar Jeswani,Vanita Makhija</t>
        </is>
      </c>
      <c r="L132" s="256" t="n">
        <v>555065</v>
      </c>
      <c r="O132" s="257" t="inlineStr">
        <is>
          <t>I-203, Deepak Kumar Jeswani,Vanita Makhija</t>
        </is>
      </c>
      <c r="P132" s="1115" t="n">
        <v>2200</v>
      </c>
      <c r="R132" t="inlineStr">
        <is>
          <t>J-1104, Hiralal Kushwaha &amp; Roopa Kushwaha</t>
        </is>
      </c>
      <c r="S132" t="n">
        <v>200000</v>
      </c>
    </row>
    <row r="133">
      <c r="B133" t="inlineStr">
        <is>
          <t>K/203, Priteshkumar P.Upadhyay, Paresh U</t>
        </is>
      </c>
      <c r="C133" t="n">
        <v>50000</v>
      </c>
      <c r="F133" s="253" t="inlineStr">
        <is>
          <t>O/1004, Soliya Naval Bhikhubhai</t>
        </is>
      </c>
      <c r="G133" s="253" t="n">
        <v>0</v>
      </c>
      <c r="H133" s="253" t="n">
        <v>206500</v>
      </c>
      <c r="I133" s="253" t="n">
        <v>206500</v>
      </c>
      <c r="K133" s="255" t="inlineStr">
        <is>
          <t>I-301 Ankit Dharmendra Jani</t>
        </is>
      </c>
      <c r="L133" s="256" t="n">
        <v>402027.9999999999</v>
      </c>
      <c r="O133" s="257" t="inlineStr">
        <is>
          <t>G/803 Jatin Maheshchandra Gujella</t>
        </is>
      </c>
      <c r="P133" s="1115" t="n">
        <v>2200</v>
      </c>
      <c r="R133" t="inlineStr">
        <is>
          <t>N-1003, Neil Michael</t>
        </is>
      </c>
      <c r="S133" t="n">
        <v>215420</v>
      </c>
    </row>
    <row r="134">
      <c r="B134" t="inlineStr">
        <is>
          <t>K/302, Soumendrakumar Behera</t>
        </is>
      </c>
      <c r="C134" t="n">
        <v>50000</v>
      </c>
      <c r="F134" s="253" t="inlineStr">
        <is>
          <t>O-802,Bhadaniya Chand</t>
        </is>
      </c>
      <c r="G134" s="253" t="n">
        <v>0</v>
      </c>
      <c r="H134" s="253" t="n">
        <v>227000</v>
      </c>
      <c r="I134" s="253" t="n">
        <v>227000</v>
      </c>
      <c r="K134" s="255" t="inlineStr">
        <is>
          <t>I-302,Asish Mansukhlal Ajmera</t>
        </is>
      </c>
      <c r="L134" s="256" t="n">
        <v>503306</v>
      </c>
      <c r="O134" s="257" t="inlineStr">
        <is>
          <t>O/1004, Soliya Naval Bhikhubhai</t>
        </is>
      </c>
      <c r="P134" s="1115" t="n">
        <v>36500</v>
      </c>
      <c r="R134" t="inlineStr">
        <is>
          <t>L-1101,Pratapsingh</t>
        </is>
      </c>
      <c r="S134" t="n">
        <v>215470</v>
      </c>
    </row>
    <row r="135">
      <c r="B135" t="inlineStr">
        <is>
          <t>K/303 Jaykumar Raval</t>
        </is>
      </c>
      <c r="C135" t="n">
        <v>50000</v>
      </c>
      <c r="F135" s="253" t="inlineStr">
        <is>
          <t>M-901, Alap Lavjibhai Ramani</t>
        </is>
      </c>
      <c r="G135" s="253" t="n">
        <v>0</v>
      </c>
      <c r="H135" s="253" t="n">
        <v>30500</v>
      </c>
      <c r="I135" s="253" t="n">
        <v>30500</v>
      </c>
      <c r="K135" s="255" t="inlineStr">
        <is>
          <t>I-304, Mehulsinh Ranilsinh Rajput</t>
        </is>
      </c>
      <c r="L135" s="256" t="n">
        <v>44060</v>
      </c>
      <c r="O135" s="257" t="inlineStr">
        <is>
          <t>O-802,Bhadaniya Chand</t>
        </is>
      </c>
      <c r="P135" s="1115" t="n">
        <v>40000</v>
      </c>
      <c r="R135" t="inlineStr">
        <is>
          <t>L-401,Sunil Dineshchandra Manjrawala</t>
        </is>
      </c>
      <c r="S135" t="n">
        <v>216500</v>
      </c>
    </row>
    <row r="136">
      <c r="B136" t="inlineStr">
        <is>
          <t>K/603, Ramchandra Bhikha Mahajan</t>
        </is>
      </c>
      <c r="C136" t="n">
        <v>50000</v>
      </c>
      <c r="F136" s="253" t="inlineStr">
        <is>
          <t>E-701,Sanket Govinbhi Panchal</t>
        </is>
      </c>
      <c r="G136" s="253" t="n">
        <v>0</v>
      </c>
      <c r="H136" s="253" t="n">
        <v>183933</v>
      </c>
      <c r="I136" s="253" t="n">
        <v>183933</v>
      </c>
      <c r="K136" s="255" t="inlineStr">
        <is>
          <t>I-401, Sumara Chitra</t>
        </is>
      </c>
      <c r="L136" s="256" t="n">
        <v>445544</v>
      </c>
      <c r="O136" s="257" t="inlineStr">
        <is>
          <t>SH-20,Pukhraj Sankalram Kumhar/Ambika Kitchen Ware</t>
        </is>
      </c>
      <c r="P136" s="1115" t="n">
        <v>25640</v>
      </c>
      <c r="R136" t="inlineStr">
        <is>
          <t>M-901, Alap Lavjibhai Ramani</t>
        </is>
      </c>
      <c r="S136" t="n">
        <v>139400</v>
      </c>
    </row>
    <row r="137">
      <c r="B137" t="inlineStr">
        <is>
          <t>K/802,Vipul Kulshrestha</t>
        </is>
      </c>
      <c r="C137" t="n">
        <v>50000</v>
      </c>
      <c r="F137" s="253" t="inlineStr">
        <is>
          <t>F/1102,Meet Yogeshbhai Sheth</t>
        </is>
      </c>
      <c r="G137" s="253" t="n">
        <v>196742.7</v>
      </c>
      <c r="H137" s="253" t="n">
        <v>197700</v>
      </c>
      <c r="I137" s="253" t="n">
        <v>957.2999999999884</v>
      </c>
      <c r="K137" s="255" t="inlineStr">
        <is>
          <t>I-402, Rajeevkumar Pathak</t>
        </is>
      </c>
      <c r="L137" s="256" t="n">
        <v>261085</v>
      </c>
      <c r="O137" s="257" t="inlineStr">
        <is>
          <t>M-901, Alap Lavjibhai Ramani</t>
        </is>
      </c>
      <c r="P137" s="1115" t="n">
        <v>30500</v>
      </c>
      <c r="R137" t="inlineStr">
        <is>
          <t>O-802,Bhadaniya Chand</t>
        </is>
      </c>
      <c r="S137" t="n">
        <v>187000</v>
      </c>
    </row>
    <row r="138">
      <c r="B138" t="inlineStr">
        <is>
          <t>K/804, Dineshchandra C. Shah</t>
        </is>
      </c>
      <c r="C138" t="n">
        <v>50000</v>
      </c>
      <c r="F138" s="253" t="inlineStr">
        <is>
          <t>H-703, Pragneshkumar Thakker,</t>
        </is>
      </c>
      <c r="G138" s="253" t="n">
        <v>0</v>
      </c>
      <c r="H138" s="253" t="n">
        <v>199470</v>
      </c>
      <c r="I138" s="253" t="n">
        <v>199470</v>
      </c>
      <c r="K138" s="255" t="inlineStr">
        <is>
          <t>I-404,Neha Rajesh Bharti</t>
        </is>
      </c>
      <c r="L138" s="256" t="n">
        <v>697030</v>
      </c>
      <c r="O138" s="257" t="inlineStr">
        <is>
          <t>SH-305,Jitesh Maganlal Shah</t>
        </is>
      </c>
      <c r="P138" s="1115" t="n">
        <v>29680</v>
      </c>
      <c r="R138" t="inlineStr">
        <is>
          <t>L-304, Deepa Mayank Parekh</t>
        </is>
      </c>
      <c r="S138" t="n">
        <v>218500</v>
      </c>
    </row>
    <row r="139">
      <c r="B139" t="inlineStr">
        <is>
          <t>K-1002, Deepakkumar Shantilal Kamani</t>
        </is>
      </c>
      <c r="C139" t="n">
        <v>50000</v>
      </c>
      <c r="F139" s="253" t="inlineStr">
        <is>
          <t>O/903 Rahul / Mahendra N.Andharia</t>
        </is>
      </c>
      <c r="G139" s="253" t="n">
        <v>0</v>
      </c>
      <c r="H139" s="253" t="n">
        <v>192500</v>
      </c>
      <c r="I139" s="253" t="n">
        <v>192500</v>
      </c>
      <c r="K139" s="255" t="inlineStr">
        <is>
          <t>I-502,Dhaval Devanshubhai Trivedi</t>
        </is>
      </c>
      <c r="L139" s="256" t="n">
        <v>104829</v>
      </c>
      <c r="O139" s="257" t="inlineStr">
        <is>
          <t>SHOP 211 Vishnu Rao After Bu</t>
        </is>
      </c>
      <c r="P139" s="1115" t="n">
        <v>30800</v>
      </c>
      <c r="R139" t="inlineStr">
        <is>
          <t>SH.04, Gauriben B. Makwana,Bhavin B. Dalwadi</t>
        </is>
      </c>
      <c r="S139" t="n">
        <v>265600</v>
      </c>
    </row>
    <row r="140">
      <c r="B140" t="inlineStr">
        <is>
          <t>K-104,Amogh Chitnis</t>
        </is>
      </c>
      <c r="C140" t="n">
        <v>50000</v>
      </c>
      <c r="F140" s="253" t="inlineStr">
        <is>
          <t>I-504,Devam Kashyapbhai Pandya</t>
        </is>
      </c>
      <c r="G140" s="253" t="n">
        <v>0</v>
      </c>
      <c r="H140" s="253" t="n">
        <v>209000</v>
      </c>
      <c r="I140" s="253" t="n">
        <v>209000</v>
      </c>
      <c r="K140" s="255" t="inlineStr">
        <is>
          <t>I-504,Devam Kashyapbhai Pandya</t>
        </is>
      </c>
      <c r="L140" s="256" t="n">
        <v>34654</v>
      </c>
      <c r="O140" s="257" t="inlineStr">
        <is>
          <t>(as per details)</t>
        </is>
      </c>
      <c r="P140" s="1115" t="n">
        <v>30833</v>
      </c>
      <c r="R140" t="inlineStr">
        <is>
          <t>P-1001, Samruddhi &amp; Sandeep Mekde</t>
        </is>
      </c>
      <c r="S140" t="n">
        <v>184000</v>
      </c>
    </row>
    <row r="141">
      <c r="B141" t="inlineStr">
        <is>
          <t>K-1104, Vineet Abbhi</t>
        </is>
      </c>
      <c r="C141" t="n">
        <v>50000</v>
      </c>
      <c r="F141" s="253" t="inlineStr">
        <is>
          <t>H-902, Rajkumar Rao</t>
        </is>
      </c>
      <c r="G141" s="253" t="n">
        <v>0</v>
      </c>
      <c r="H141" s="253" t="n">
        <v>199453</v>
      </c>
      <c r="I141" s="253" t="n">
        <v>199453</v>
      </c>
      <c r="K141" s="255" t="inlineStr">
        <is>
          <t>I-603,Mamtaben Champaklal Soni</t>
        </is>
      </c>
      <c r="L141" s="256" t="n">
        <v>75758</v>
      </c>
      <c r="O141" s="259" t="inlineStr">
        <is>
          <t>E-701,Sanket Govinbhi Panchal</t>
        </is>
      </c>
      <c r="P141" s="1116" t="n"/>
      <c r="R141" t="inlineStr">
        <is>
          <t>K-602, Kishor Devshibhai Vagh</t>
        </is>
      </c>
      <c r="S141" t="n">
        <v>210700</v>
      </c>
    </row>
    <row r="142">
      <c r="B142" t="inlineStr">
        <is>
          <t>K-1201, Riya Dasgupta</t>
        </is>
      </c>
      <c r="C142" t="n">
        <v>50000</v>
      </c>
      <c r="F142" s="253" t="inlineStr">
        <is>
          <t>O-803, Rahul M.Andharia</t>
        </is>
      </c>
      <c r="G142" s="253" t="n">
        <v>0</v>
      </c>
      <c r="H142" s="253" t="n">
        <v>229500</v>
      </c>
      <c r="I142" s="253" t="n">
        <v>229500</v>
      </c>
      <c r="K142" s="255" t="inlineStr">
        <is>
          <t>I-701, Narendra Hanumant  Jog</t>
        </is>
      </c>
      <c r="L142" s="256" t="n">
        <v>-289100</v>
      </c>
      <c r="O142" s="259" t="inlineStr">
        <is>
          <t>CGST ON COLLECTION</t>
        </is>
      </c>
      <c r="P142" s="1116" t="n"/>
      <c r="R142" t="inlineStr">
        <is>
          <t>M-302 Ashishkumar Ramnareshsingh Parihar</t>
        </is>
      </c>
      <c r="S142" t="n">
        <v>167278</v>
      </c>
    </row>
    <row r="143">
      <c r="B143" t="inlineStr">
        <is>
          <t>K-1202, Sagar Devajibhai Ladani</t>
        </is>
      </c>
      <c r="C143" t="n">
        <v>50000</v>
      </c>
      <c r="F143" s="253" t="inlineStr">
        <is>
          <t>J-1104, Hiralal Kushwaha &amp; Roopa Kushwaha</t>
        </is>
      </c>
      <c r="G143" s="253" t="n">
        <v>0</v>
      </c>
      <c r="H143" s="253" t="n">
        <v>242500</v>
      </c>
      <c r="I143" s="253" t="n">
        <v>242500</v>
      </c>
      <c r="K143" s="255" t="inlineStr">
        <is>
          <t>I-702, Tushar Singh</t>
        </is>
      </c>
      <c r="L143" s="256" t="n">
        <v>-260700</v>
      </c>
      <c r="O143" s="259" t="inlineStr">
        <is>
          <t>SGST ON COLLECTION</t>
        </is>
      </c>
      <c r="P143" s="1116" t="n"/>
      <c r="R143" t="inlineStr">
        <is>
          <t>B/101, Ankur Sanghvi</t>
        </is>
      </c>
      <c r="S143" t="n">
        <v>198000</v>
      </c>
    </row>
    <row r="144">
      <c r="B144" t="inlineStr">
        <is>
          <t>K-1204, Suman Mohanty</t>
        </is>
      </c>
      <c r="C144" t="n">
        <v>50000</v>
      </c>
      <c r="F144" s="253" t="inlineStr">
        <is>
          <t>N-1003, Neil Michael</t>
        </is>
      </c>
      <c r="G144" s="253" t="n">
        <v>0</v>
      </c>
      <c r="H144" s="253" t="n">
        <v>259420</v>
      </c>
      <c r="I144" s="253" t="n">
        <v>259420</v>
      </c>
      <c r="K144" s="255" t="inlineStr">
        <is>
          <t>I-703,Samir Suryakant Pallav</t>
        </is>
      </c>
      <c r="L144" s="256" t="n">
        <v>27964</v>
      </c>
      <c r="O144" s="257" t="inlineStr">
        <is>
          <t>E-701,Sanket Govinbhi Panchal</t>
        </is>
      </c>
      <c r="P144" s="1115" t="n">
        <v>32833</v>
      </c>
      <c r="R144" t="inlineStr">
        <is>
          <t>L-1001, Krushnadas Manvar</t>
        </is>
      </c>
      <c r="S144" t="n">
        <v>207700</v>
      </c>
    </row>
    <row r="145">
      <c r="B145" t="inlineStr">
        <is>
          <t>K-1303, Unnati Manubhai Chitroda</t>
        </is>
      </c>
      <c r="C145" t="n">
        <v>50000</v>
      </c>
      <c r="F145" s="253" t="inlineStr">
        <is>
          <t>L-1101,Pratapsingh</t>
        </is>
      </c>
      <c r="G145" s="253" t="n">
        <v>260567.7</v>
      </c>
      <c r="H145" s="253" t="n">
        <v>261443</v>
      </c>
      <c r="I145" s="253" t="n">
        <v>875.2999999999884</v>
      </c>
      <c r="K145" s="255" t="inlineStr">
        <is>
          <t>I-801, Richa Sharma</t>
        </is>
      </c>
      <c r="L145" s="256" t="n">
        <v>43838</v>
      </c>
      <c r="O145" s="257" t="inlineStr">
        <is>
          <t>E-701,Sanket Govinbhi Panchal</t>
        </is>
      </c>
      <c r="P145" s="1115" t="n">
        <v>151100</v>
      </c>
      <c r="R145" t="inlineStr">
        <is>
          <t>F-703, Gaurav Sanjay Kankraj</t>
        </is>
      </c>
      <c r="S145" t="n">
        <v>166100</v>
      </c>
    </row>
    <row r="146">
      <c r="B146" t="inlineStr">
        <is>
          <t>K-202,Chinjal Lalitkumar Modi</t>
        </is>
      </c>
      <c r="C146" t="n">
        <v>50000</v>
      </c>
      <c r="F146" s="253" t="inlineStr">
        <is>
          <t>K,503 Ishwar Harjibhai Kanjariya</t>
        </is>
      </c>
      <c r="G146" s="253" t="n">
        <v>260717.7</v>
      </c>
      <c r="H146" s="253" t="n">
        <v>262000</v>
      </c>
      <c r="I146" s="253" t="n">
        <v>1282.299999999988</v>
      </c>
      <c r="K146" s="255" t="inlineStr">
        <is>
          <t>I-804,Anish Mahendra Bhatt &amp; Maya A.Bhatt</t>
        </is>
      </c>
      <c r="L146" s="256" t="n">
        <v>518429</v>
      </c>
      <c r="O146" s="257" t="inlineStr">
        <is>
          <t>G-901, Govindbhai Rajabhai Dhariaparmar</t>
        </is>
      </c>
      <c r="P146" s="1115" t="n">
        <v>35000</v>
      </c>
      <c r="R146" t="inlineStr">
        <is>
          <t>B-1303,Manan M.Desai /Vandana M.Desai</t>
        </is>
      </c>
      <c r="S146" t="n">
        <v>83035</v>
      </c>
    </row>
    <row r="147">
      <c r="B147" t="inlineStr">
        <is>
          <t>K-402,Ravinjay Tiwari</t>
        </is>
      </c>
      <c r="C147" t="n">
        <v>50000</v>
      </c>
      <c r="F147" s="253" t="inlineStr">
        <is>
          <t>L-304, Deepa Mayank Parekh</t>
        </is>
      </c>
      <c r="G147" s="253" t="n">
        <v>0</v>
      </c>
      <c r="H147" s="253" t="n">
        <v>263100</v>
      </c>
      <c r="I147" s="253" t="n">
        <v>263100</v>
      </c>
      <c r="K147" s="255" t="inlineStr">
        <is>
          <t>I-901, Shivam Thakur</t>
        </is>
      </c>
      <c r="L147" s="256" t="n">
        <v>0</v>
      </c>
      <c r="O147" s="257" t="inlineStr">
        <is>
          <t>F/1102,Meet Yogeshbhai Sheth</t>
        </is>
      </c>
      <c r="P147" s="1115" t="n">
        <v>35200</v>
      </c>
      <c r="R147" t="inlineStr">
        <is>
          <t>D-304,Jinish Chimanbhai Patel</t>
        </is>
      </c>
      <c r="S147" t="n">
        <v>191500</v>
      </c>
    </row>
    <row r="148">
      <c r="B148" t="inlineStr">
        <is>
          <t>K-403,Mahesh Madhukar Bharambe</t>
        </is>
      </c>
      <c r="C148" t="n">
        <v>50000</v>
      </c>
      <c r="F148" s="253" t="inlineStr">
        <is>
          <t>L-401,Sunil Dineshchandra Manjrawala</t>
        </is>
      </c>
      <c r="G148" s="253" t="n">
        <v>0</v>
      </c>
      <c r="H148" s="253" t="n">
        <v>262500</v>
      </c>
      <c r="I148" s="253" t="n">
        <v>262500</v>
      </c>
      <c r="K148" s="255" t="inlineStr">
        <is>
          <t>I-902, Nilesh Odedara</t>
        </is>
      </c>
      <c r="L148" s="256" t="n">
        <v>39930</v>
      </c>
      <c r="O148" s="257" t="inlineStr">
        <is>
          <t>H-703, Pragneshkumar Thakker,</t>
        </is>
      </c>
      <c r="P148" s="1115" t="n">
        <v>35470</v>
      </c>
      <c r="R148" t="inlineStr">
        <is>
          <t>C-101, Shivam Thakore</t>
        </is>
      </c>
      <c r="S148" t="n">
        <v>201100</v>
      </c>
    </row>
    <row r="149">
      <c r="B149" t="inlineStr">
        <is>
          <t>K-501,Vivek Goad / Raksha Sharma</t>
        </is>
      </c>
      <c r="C149" t="n">
        <v>50000</v>
      </c>
      <c r="F149" s="253" t="inlineStr">
        <is>
          <t>SH.04, Gauriben B. Makwana,Bhavin B. Dalwadi</t>
        </is>
      </c>
      <c r="G149" s="253" t="n">
        <v>0</v>
      </c>
      <c r="H149" s="253" t="n">
        <v>321800</v>
      </c>
      <c r="I149" s="253" t="n">
        <v>321800</v>
      </c>
      <c r="K149" s="255" t="inlineStr">
        <is>
          <t>J-1003,Jagdish Pankajkumar Patel</t>
        </is>
      </c>
      <c r="L149" s="256" t="n">
        <v>151930</v>
      </c>
      <c r="O149" s="257" t="inlineStr">
        <is>
          <t>O/903 Rahul / Mahendra N.Andharia</t>
        </is>
      </c>
      <c r="P149" s="1115" t="n">
        <v>34500</v>
      </c>
      <c r="R149" t="inlineStr">
        <is>
          <t>H-102, Sakshi Sachin Kapoor</t>
        </is>
      </c>
      <c r="S149" t="n">
        <v>163000</v>
      </c>
    </row>
    <row r="150">
      <c r="B150" t="inlineStr">
        <is>
          <t>K-504,Udaykumar Vipinbhai Dave</t>
        </is>
      </c>
      <c r="C150" t="n">
        <v>50000</v>
      </c>
      <c r="F150" s="253" t="inlineStr">
        <is>
          <t>SH-305,Jitesh Maganlal Shah</t>
        </is>
      </c>
      <c r="G150" s="253" t="n">
        <v>0</v>
      </c>
      <c r="H150" s="253" t="n">
        <v>162880</v>
      </c>
      <c r="I150" s="253" t="n">
        <v>162880</v>
      </c>
      <c r="K150" s="255" t="inlineStr">
        <is>
          <t>J-1004, Dipesh Bharartbhai Pandya</t>
        </is>
      </c>
      <c r="L150" s="256" t="n">
        <v>-46400</v>
      </c>
      <c r="O150" s="257" t="inlineStr">
        <is>
          <t>I-504,Devam Kashyapbhai Pandya</t>
        </is>
      </c>
      <c r="P150" s="1115" t="n">
        <v>37000</v>
      </c>
      <c r="R150" t="inlineStr">
        <is>
          <t>P-1204,Lokesh Manilal Suthar</t>
        </is>
      </c>
      <c r="S150" t="n">
        <v>188900</v>
      </c>
    </row>
    <row r="151">
      <c r="B151" t="inlineStr">
        <is>
          <t>K-601, Harshad Jain</t>
        </is>
      </c>
      <c r="C151" t="n">
        <v>50000</v>
      </c>
      <c r="F151" s="253" t="inlineStr">
        <is>
          <t>SHOP 211 Vishnu Rao After Bu</t>
        </is>
      </c>
      <c r="G151" s="253" t="n">
        <v>0</v>
      </c>
      <c r="H151" s="253" t="n">
        <v>171800</v>
      </c>
      <c r="I151" s="253" t="n">
        <v>171800</v>
      </c>
      <c r="K151" s="255" t="inlineStr">
        <is>
          <t>J-1101, Roopesh Kushwaha / Shefali Kushwaha</t>
        </is>
      </c>
      <c r="L151" s="256" t="n">
        <v>333292</v>
      </c>
      <c r="O151" s="257" t="inlineStr">
        <is>
          <t>H-902, Rajkumar Rao</t>
        </is>
      </c>
      <c r="P151" s="1115" t="n">
        <v>35463</v>
      </c>
      <c r="R151" t="inlineStr">
        <is>
          <t>C/1001 Divyeshkumar Navnitlal Panchal</t>
        </is>
      </c>
      <c r="S151" t="n">
        <v>208360</v>
      </c>
    </row>
    <row r="152">
      <c r="B152" t="inlineStr">
        <is>
          <t>K-602, Kishor Devshibhai Vagh</t>
        </is>
      </c>
      <c r="C152" t="n">
        <v>50000</v>
      </c>
      <c r="F152" s="253" t="inlineStr">
        <is>
          <t>P-1001, Samruddhi &amp; Sandeep Mekde</t>
        </is>
      </c>
      <c r="G152" s="253" t="n">
        <v>0</v>
      </c>
      <c r="H152" s="253" t="n">
        <v>224000</v>
      </c>
      <c r="I152" s="253" t="n">
        <v>224000</v>
      </c>
      <c r="K152" s="255" t="inlineStr">
        <is>
          <t>J-1103, Zinkal Siddhath Kinariwala</t>
        </is>
      </c>
      <c r="L152" s="256" t="n">
        <v>41164</v>
      </c>
      <c r="O152" s="257" t="inlineStr">
        <is>
          <t>J-1104, Hiralal Kushwaha &amp; Roopa Kushwaha</t>
        </is>
      </c>
      <c r="P152" s="1115" t="n">
        <v>42500</v>
      </c>
      <c r="R152" t="inlineStr">
        <is>
          <t>A-1301, Aniruddha Dutta</t>
        </is>
      </c>
      <c r="S152" t="n">
        <v>50000</v>
      </c>
    </row>
    <row r="153">
      <c r="B153" t="inlineStr">
        <is>
          <t>K-604,Bhavika &amp; Vijay Parshotambhai Patel</t>
        </is>
      </c>
      <c r="C153" t="n">
        <v>50000</v>
      </c>
      <c r="F153" s="253" t="inlineStr">
        <is>
          <t>K-602, Kishor Devshibhai Vagh</t>
        </is>
      </c>
      <c r="G153" s="253" t="n">
        <v>0</v>
      </c>
      <c r="H153" s="253" t="n">
        <v>255700</v>
      </c>
      <c r="I153" s="253" t="n">
        <v>255700</v>
      </c>
      <c r="K153" s="255" t="inlineStr">
        <is>
          <t>J-1104, Hiralal Kushwaha &amp; Roopa Kushwaha</t>
        </is>
      </c>
      <c r="L153" s="256" t="n">
        <v>40312</v>
      </c>
      <c r="O153" s="257" t="inlineStr">
        <is>
          <t>N-1003, Neil Michael</t>
        </is>
      </c>
      <c r="P153" s="1115" t="n">
        <v>44000</v>
      </c>
      <c r="R153" t="inlineStr">
        <is>
          <t>J-802, Rushabh Shah</t>
        </is>
      </c>
      <c r="S153" t="n">
        <v>191500</v>
      </c>
    </row>
    <row r="154">
      <c r="B154" t="inlineStr">
        <is>
          <t>K-701, Amita Kamlesh Soni</t>
        </is>
      </c>
      <c r="C154" t="n">
        <v>50000</v>
      </c>
      <c r="F154" s="253" t="inlineStr">
        <is>
          <t>E-102,Rajubhai Gohel</t>
        </is>
      </c>
      <c r="G154" s="253" t="n">
        <v>0</v>
      </c>
      <c r="H154" s="253" t="n">
        <v>232500</v>
      </c>
      <c r="I154" s="253" t="n">
        <v>232500</v>
      </c>
      <c r="K154" s="255" t="inlineStr">
        <is>
          <t>J-1201, Uma Nath Trpathi</t>
        </is>
      </c>
      <c r="L154" s="256" t="n">
        <v>395050</v>
      </c>
      <c r="O154" s="257" t="inlineStr">
        <is>
          <t>L-1101,Pratapsingh</t>
        </is>
      </c>
      <c r="P154" s="1115" t="n">
        <v>45973</v>
      </c>
      <c r="R154" t="inlineStr">
        <is>
          <t>H-704. Pinkesh M. Mehta / Jaimini P.Mehta</t>
        </is>
      </c>
      <c r="S154" t="n">
        <v>163100</v>
      </c>
    </row>
    <row r="155">
      <c r="B155" t="inlineStr">
        <is>
          <t>K-702,Tapan Jayeshbhai Khimani</t>
        </is>
      </c>
      <c r="C155" t="n">
        <v>50000</v>
      </c>
      <c r="F155" s="253" t="inlineStr">
        <is>
          <t>M-302 Ashishkumar Ramnareshsingh Parihar</t>
        </is>
      </c>
      <c r="G155" s="253" t="n">
        <v>0</v>
      </c>
      <c r="H155" s="253" t="n">
        <v>203416</v>
      </c>
      <c r="I155" s="253" t="n">
        <v>203416</v>
      </c>
      <c r="K155" s="255" t="inlineStr">
        <is>
          <t>J-1203, Hitesh P.Lumbhani</t>
        </is>
      </c>
      <c r="L155" s="256" t="n">
        <v>43564</v>
      </c>
      <c r="O155" s="257" t="inlineStr">
        <is>
          <t>K,503 Ishwar Harjibhai Kanjariya</t>
        </is>
      </c>
      <c r="P155" s="1115" t="n">
        <v>216000</v>
      </c>
      <c r="R155" t="inlineStr">
        <is>
          <t>A-502, Brajesh Kumar / Shalini Bhardwaj</t>
        </is>
      </c>
      <c r="S155" t="n">
        <v>189100</v>
      </c>
    </row>
    <row r="156">
      <c r="B156" t="inlineStr">
        <is>
          <t>K-703,Tejas Hareshbhai Pansaniya</t>
        </is>
      </c>
      <c r="C156" t="n">
        <v>50000</v>
      </c>
      <c r="F156" s="253" t="inlineStr">
        <is>
          <t>B/101, Ankur Sanghvi</t>
        </is>
      </c>
      <c r="G156" s="253" t="n">
        <v>0</v>
      </c>
      <c r="H156" s="253" t="n">
        <v>240000</v>
      </c>
      <c r="I156" s="253" t="n">
        <v>240000</v>
      </c>
      <c r="K156" s="255" t="inlineStr">
        <is>
          <t>J/1204 Omprakash Tiwari, Anita After Bu</t>
        </is>
      </c>
      <c r="L156" s="256" t="n">
        <v>500000</v>
      </c>
      <c r="O156" s="257" t="inlineStr">
        <is>
          <t>L-304, Deepa Mayank Parekh</t>
        </is>
      </c>
      <c r="P156" s="1115" t="n">
        <v>44600</v>
      </c>
      <c r="R156" t="inlineStr">
        <is>
          <t>N-1301, Hunney Gor</t>
        </is>
      </c>
      <c r="S156" t="n">
        <v>193000</v>
      </c>
    </row>
    <row r="157">
      <c r="B157" t="inlineStr">
        <is>
          <t>K-801, Viral Bhayani</t>
        </is>
      </c>
      <c r="C157" t="n">
        <v>50000</v>
      </c>
      <c r="F157" s="253" t="inlineStr">
        <is>
          <t>L-1001, Krushnadas Manvar</t>
        </is>
      </c>
      <c r="G157" s="253" t="n">
        <v>0</v>
      </c>
      <c r="H157" s="253" t="n">
        <v>252000</v>
      </c>
      <c r="I157" s="253" t="n">
        <v>252000</v>
      </c>
      <c r="K157" s="255" t="inlineStr">
        <is>
          <t>J-1303, Raj Umang Chokshi</t>
        </is>
      </c>
      <c r="L157" s="256" t="n">
        <v>-445544</v>
      </c>
      <c r="O157" s="257" t="inlineStr">
        <is>
          <t>L-401,Sunil Dineshchandra Manjrawala</t>
        </is>
      </c>
      <c r="P157" s="1115" t="n">
        <v>46000</v>
      </c>
      <c r="R157" t="inlineStr">
        <is>
          <t>A/204,Vipul Mistry</t>
        </is>
      </c>
      <c r="S157" t="n">
        <v>168200</v>
      </c>
    </row>
    <row r="158">
      <c r="B158" t="inlineStr">
        <is>
          <t>L-1001, Krushnadas Manvar</t>
        </is>
      </c>
      <c r="C158" t="n">
        <v>50000</v>
      </c>
      <c r="F158" s="253" t="inlineStr">
        <is>
          <t>F-703, Gaurav Sanjay Kankraj</t>
        </is>
      </c>
      <c r="G158" s="253" t="n">
        <v>0</v>
      </c>
      <c r="H158" s="253" t="n">
        <v>201600</v>
      </c>
      <c r="I158" s="253" t="n">
        <v>201600</v>
      </c>
      <c r="K158" s="255" t="inlineStr">
        <is>
          <t>J-402, Vipul Dinkarray Dave</t>
        </is>
      </c>
      <c r="L158" s="256" t="n">
        <v>243406</v>
      </c>
      <c r="O158" s="257" t="inlineStr">
        <is>
          <t>SH.04, Gauriben B. Makwana,Bhavin B. Dalwadi</t>
        </is>
      </c>
      <c r="P158" s="1115" t="n">
        <v>56200</v>
      </c>
      <c r="R158" t="inlineStr">
        <is>
          <t>L-801, Kajal M. Mishra</t>
        </is>
      </c>
      <c r="S158" t="n">
        <v>198832</v>
      </c>
    </row>
    <row r="159">
      <c r="B159" t="inlineStr">
        <is>
          <t>L-1002,Nilesh Bhalchandra Yeole</t>
        </is>
      </c>
      <c r="C159" t="n">
        <v>50000</v>
      </c>
      <c r="F159" s="253" t="inlineStr">
        <is>
          <t>B-1303,Manan M.Desai /Vandana M.Desai</t>
        </is>
      </c>
      <c r="G159" s="253" t="n">
        <v>0</v>
      </c>
      <c r="H159" s="253" t="n">
        <v>85235</v>
      </c>
      <c r="I159" s="253" t="n">
        <v>85235</v>
      </c>
      <c r="K159" s="255" t="inlineStr">
        <is>
          <t>J-404, Chirag Satapara</t>
        </is>
      </c>
      <c r="L159" s="256" t="n">
        <v>187030</v>
      </c>
      <c r="O159" s="257" t="inlineStr">
        <is>
          <t>P-1001, Samruddhi &amp; Sandeep Mekde</t>
        </is>
      </c>
      <c r="P159" s="1115" t="n">
        <v>40000</v>
      </c>
      <c r="R159" t="inlineStr">
        <is>
          <t>O/901 Mansukhani Geetadevi</t>
        </is>
      </c>
      <c r="S159" t="n">
        <v>166980</v>
      </c>
    </row>
    <row r="160">
      <c r="B160" t="inlineStr">
        <is>
          <t>L-1101,Pratapsingh</t>
        </is>
      </c>
      <c r="C160" t="n">
        <v>50000</v>
      </c>
      <c r="F160" s="253" t="inlineStr">
        <is>
          <t>D-304,Jinish Chimanbhai Patel</t>
        </is>
      </c>
      <c r="G160" s="253" t="n">
        <v>0</v>
      </c>
      <c r="H160" s="253" t="n">
        <v>232500</v>
      </c>
      <c r="I160" s="253" t="n">
        <v>232500</v>
      </c>
      <c r="K160" s="255" t="inlineStr">
        <is>
          <t>J/501 Mayank Agrawal</t>
        </is>
      </c>
      <c r="L160" s="256" t="n">
        <v>176072</v>
      </c>
      <c r="O160" s="257" t="inlineStr">
        <is>
          <t>K-602, Kishor Devshibhai Vagh</t>
        </is>
      </c>
      <c r="P160" s="1115" t="n">
        <v>45000</v>
      </c>
      <c r="R160" t="inlineStr">
        <is>
          <t>SH-20,Pukhraj Sankalram Kumhar/Ambika Kitchen Ware</t>
        </is>
      </c>
      <c r="S160" t="n">
        <v>119550</v>
      </c>
    </row>
    <row r="161">
      <c r="B161" t="inlineStr">
        <is>
          <t>L-304, Deepa Mayank Parekh</t>
        </is>
      </c>
      <c r="C161" t="n">
        <v>50000</v>
      </c>
      <c r="F161" s="253" t="inlineStr">
        <is>
          <t>C-101, Shivam Thakore</t>
        </is>
      </c>
      <c r="G161" s="253" t="n">
        <v>0</v>
      </c>
      <c r="H161" s="253" t="n">
        <v>244100</v>
      </c>
      <c r="I161" s="253" t="n">
        <v>244100</v>
      </c>
      <c r="K161" s="255" t="inlineStr">
        <is>
          <t>J-502,Ronak N. Parikh</t>
        </is>
      </c>
      <c r="L161" s="256" t="n">
        <v>42492</v>
      </c>
      <c r="O161" s="257" t="inlineStr">
        <is>
          <t>E-102,Rajubhai Gohel</t>
        </is>
      </c>
      <c r="P161" s="1115" t="n">
        <v>41000</v>
      </c>
      <c r="R161" t="inlineStr">
        <is>
          <t>M-404, Mahavir Bhagwanjibhai Jadav</t>
        </is>
      </c>
      <c r="S161" t="n">
        <v>215230</v>
      </c>
    </row>
    <row r="162">
      <c r="B162" t="inlineStr">
        <is>
          <t>L-502, Shalabh Kaushik</t>
        </is>
      </c>
      <c r="C162" t="n">
        <v>50000</v>
      </c>
      <c r="F162" s="253" t="inlineStr">
        <is>
          <t>H-102, Sakshi Sachin Kapoor</t>
        </is>
      </c>
      <c r="G162" s="253" t="n">
        <v>0</v>
      </c>
      <c r="H162" s="253" t="n">
        <v>165200</v>
      </c>
      <c r="I162" s="253" t="n">
        <v>165200</v>
      </c>
      <c r="K162" s="255" t="inlineStr">
        <is>
          <t>J-603,Hriday Abilas Ghoda</t>
        </is>
      </c>
      <c r="L162" s="256" t="n">
        <v>552235</v>
      </c>
      <c r="O162" s="257" t="inlineStr">
        <is>
          <t>M-302 Ashishkumar Ramnareshsingh Parihar</t>
        </is>
      </c>
      <c r="P162" s="1115" t="n">
        <v>36138</v>
      </c>
      <c r="R162" t="inlineStr">
        <is>
          <t>A-1301, Aniruddha Dutta</t>
        </is>
      </c>
      <c r="S162" t="n">
        <v>209000</v>
      </c>
    </row>
    <row r="163">
      <c r="B163" t="inlineStr">
        <is>
          <t>L-801, Kajal M. Mishra</t>
        </is>
      </c>
      <c r="C163" t="n">
        <v>50000</v>
      </c>
      <c r="F163" s="253" t="inlineStr">
        <is>
          <t>P-1204,Lokesh Manilal Suthar</t>
        </is>
      </c>
      <c r="G163" s="253" t="n">
        <v>0</v>
      </c>
      <c r="H163" s="253" t="n">
        <v>229400</v>
      </c>
      <c r="I163" s="253" t="n">
        <v>229400</v>
      </c>
      <c r="K163" s="255" t="inlineStr">
        <is>
          <t>J-604,Anil Jayantilal Dave</t>
        </is>
      </c>
      <c r="L163" s="256" t="n">
        <v>1125113</v>
      </c>
      <c r="O163" s="257" t="inlineStr">
        <is>
          <t>B/101, Ankur Sanghvi</t>
        </is>
      </c>
      <c r="P163" s="1115" t="n">
        <v>42000</v>
      </c>
      <c r="R163" t="inlineStr">
        <is>
          <t>I-502,Dhaval Devanshubhai Trivedi</t>
        </is>
      </c>
      <c r="S163" t="n">
        <v>168100</v>
      </c>
    </row>
    <row r="164">
      <c r="B164" t="inlineStr">
        <is>
          <t>L-904,Nikhil Upendra Thakkar</t>
        </is>
      </c>
      <c r="C164" t="n">
        <v>50000</v>
      </c>
      <c r="F164" s="253" t="inlineStr">
        <is>
          <t>C/1001 Divyeshkumar Navnitlal Panchal</t>
        </is>
      </c>
      <c r="G164" s="253" t="n">
        <v>0</v>
      </c>
      <c r="H164" s="253" t="n">
        <v>252882</v>
      </c>
      <c r="I164" s="253" t="n">
        <v>252882</v>
      </c>
      <c r="K164" s="255" t="inlineStr">
        <is>
          <t>J-701, Bhumi Arunkumar Raval</t>
        </is>
      </c>
      <c r="L164" s="256" t="n">
        <v>297030</v>
      </c>
      <c r="O164" s="257" t="inlineStr">
        <is>
          <t>L-1001, Krushnadas Manvar</t>
        </is>
      </c>
      <c r="P164" s="1115" t="n">
        <v>44300</v>
      </c>
      <c r="R164" t="inlineStr">
        <is>
          <t>E-1104, Priyanka Yadav, Pradeep Yadav</t>
        </is>
      </c>
      <c r="S164" t="n">
        <v>51356</v>
      </c>
    </row>
    <row r="165">
      <c r="B165" t="inlineStr">
        <is>
          <t>M/1004, Divya Tailor  &amp; Anurag Chhaparal</t>
        </is>
      </c>
      <c r="C165" t="n">
        <v>50000</v>
      </c>
      <c r="F165" s="253" t="inlineStr">
        <is>
          <t>J-802, Rushabh Shah</t>
        </is>
      </c>
      <c r="G165" s="253" t="n">
        <v>231217.7</v>
      </c>
      <c r="H165" s="253" t="n">
        <v>232500</v>
      </c>
      <c r="I165" s="253" t="n">
        <v>1282.299999999988</v>
      </c>
      <c r="K165" s="255" t="inlineStr">
        <is>
          <t>J-704,Meghana Soni</t>
        </is>
      </c>
      <c r="L165" s="256" t="n">
        <v>124973</v>
      </c>
      <c r="O165" s="257" t="inlineStr">
        <is>
          <t>F-703, Gaurav Sanjay Kankraj</t>
        </is>
      </c>
      <c r="P165" s="1115" t="n">
        <v>35500</v>
      </c>
      <c r="R165" t="inlineStr">
        <is>
          <t>I-801, Richa Sharma</t>
        </is>
      </c>
      <c r="S165" t="n">
        <v>217000</v>
      </c>
    </row>
    <row r="166">
      <c r="B166" t="inlineStr">
        <is>
          <t>M/1304, Rajvi R.Chalishazar &amp; Hardik N. Radia</t>
        </is>
      </c>
      <c r="C166" t="n">
        <v>50000</v>
      </c>
      <c r="F166" s="253" t="inlineStr">
        <is>
          <t>H-704. Pinkesh M. Mehta / Jaimini P.Mehta</t>
        </is>
      </c>
      <c r="G166" s="253" t="n">
        <v>0</v>
      </c>
      <c r="H166" s="253" t="n">
        <v>198375</v>
      </c>
      <c r="I166" s="253" t="n">
        <v>198375</v>
      </c>
      <c r="K166" s="255" t="inlineStr">
        <is>
          <t>J-801, Mahendra Andharia</t>
        </is>
      </c>
      <c r="L166" s="256" t="n">
        <v>49504</v>
      </c>
      <c r="O166" s="257" t="inlineStr">
        <is>
          <t>B-1303,Manan M.Desai /Vandana M.Desai</t>
        </is>
      </c>
      <c r="P166" s="1115" t="n">
        <v>2200</v>
      </c>
      <c r="R166" t="inlineStr">
        <is>
          <t>I-703,Samir Suryakant Pallav</t>
        </is>
      </c>
      <c r="S166" t="n">
        <v>138400</v>
      </c>
    </row>
    <row r="167">
      <c r="B167" t="inlineStr">
        <is>
          <t>M/502 Javankiaben Koradiya, Naresh Koradiya</t>
        </is>
      </c>
      <c r="C167" t="n">
        <v>50000</v>
      </c>
      <c r="F167" s="253" t="inlineStr">
        <is>
          <t>A-502, Brajesh Kumar / Shalini Bhardwaj</t>
        </is>
      </c>
      <c r="G167" s="253" t="n">
        <v>0</v>
      </c>
      <c r="H167" s="253" t="n">
        <v>229100</v>
      </c>
      <c r="I167" s="253" t="n">
        <v>229100</v>
      </c>
      <c r="K167" s="255" t="inlineStr">
        <is>
          <t>J-802, Rushabh Shah</t>
        </is>
      </c>
      <c r="L167" s="256" t="n">
        <v>0</v>
      </c>
      <c r="O167" s="257" t="inlineStr">
        <is>
          <t>D-304,Jinish Chimanbhai Patel</t>
        </is>
      </c>
      <c r="P167" s="1115" t="n">
        <v>41000</v>
      </c>
      <c r="R167" t="inlineStr">
        <is>
          <t>C/1304,Chetnaben Vallabhbhai Bavariya</t>
        </is>
      </c>
      <c r="S167" t="n">
        <v>181790</v>
      </c>
    </row>
    <row r="168">
      <c r="B168" t="inlineStr">
        <is>
          <t>M-104, Nishith N. Shah &amp; Rimaben Shah</t>
        </is>
      </c>
      <c r="C168" t="n">
        <v>50000</v>
      </c>
      <c r="F168" s="253" t="inlineStr">
        <is>
          <t>A/204,Vipul Mistry</t>
        </is>
      </c>
      <c r="G168" s="253" t="n">
        <v>0</v>
      </c>
      <c r="H168" s="253" t="n">
        <v>204616</v>
      </c>
      <c r="I168" s="253" t="n">
        <v>204616</v>
      </c>
      <c r="K168" s="255" t="inlineStr">
        <is>
          <t>J-803, Pareshkumar M &amp; Rekhaben P. Popat</t>
        </is>
      </c>
      <c r="L168" s="256" t="n">
        <v>2774894</v>
      </c>
      <c r="O168" s="257" t="inlineStr">
        <is>
          <t>C-101, Shivam Thakore</t>
        </is>
      </c>
      <c r="P168" s="1115" t="n">
        <v>43000</v>
      </c>
      <c r="R168" t="inlineStr">
        <is>
          <t>C-603,Umesh Shishivandan Pandya</t>
        </is>
      </c>
      <c r="S168" t="n">
        <v>174520</v>
      </c>
    </row>
    <row r="169">
      <c r="B169" t="inlineStr">
        <is>
          <t>M-1102, Chhayaben Sheth</t>
        </is>
      </c>
      <c r="C169" t="n">
        <v>50000</v>
      </c>
      <c r="F169" s="253" t="inlineStr">
        <is>
          <t>L-801, Kajal M. Mishra</t>
        </is>
      </c>
      <c r="G169" s="253" t="n">
        <v>0</v>
      </c>
      <c r="H169" s="253" t="n">
        <v>201832</v>
      </c>
      <c r="I169" s="253" t="n">
        <v>201832</v>
      </c>
      <c r="K169" s="255" t="inlineStr">
        <is>
          <t>J-902,Om Vikramkumar Popat</t>
        </is>
      </c>
      <c r="L169" s="256" t="n">
        <v>2774894</v>
      </c>
      <c r="O169" s="257" t="inlineStr">
        <is>
          <t>H-102, Sakshi Sachin Kapoor</t>
        </is>
      </c>
      <c r="P169" s="1115" t="n">
        <v>2200</v>
      </c>
      <c r="R169" t="inlineStr">
        <is>
          <t>G-603, Nitin Raghunath Devle</t>
        </is>
      </c>
      <c r="S169" t="n">
        <v>196500</v>
      </c>
    </row>
    <row r="170">
      <c r="B170" t="inlineStr">
        <is>
          <t>M-1104,Prabhat Soni</t>
        </is>
      </c>
      <c r="C170" t="n">
        <v>50000</v>
      </c>
      <c r="F170" s="253" t="inlineStr">
        <is>
          <t>O/901 Mansukhani Geetadevi</t>
        </is>
      </c>
      <c r="G170" s="253" t="n">
        <v>0</v>
      </c>
      <c r="H170" s="253" t="n">
        <v>168980</v>
      </c>
      <c r="I170" s="253" t="n">
        <v>168980</v>
      </c>
      <c r="K170" s="255" t="inlineStr">
        <is>
          <t>K-1002, Deepakkumar Shantilal Kamani</t>
        </is>
      </c>
      <c r="L170" s="256" t="n">
        <v>31649</v>
      </c>
      <c r="O170" s="257" t="inlineStr">
        <is>
          <t>P-1204,Lokesh Manilal Suthar</t>
        </is>
      </c>
      <c r="P170" s="1115" t="n">
        <v>40500</v>
      </c>
      <c r="R170" t="inlineStr">
        <is>
          <t>O-402, Hardik Dilip Doshi</t>
        </is>
      </c>
      <c r="S170" t="n">
        <v>181500</v>
      </c>
    </row>
    <row r="171">
      <c r="B171" t="inlineStr">
        <is>
          <t>M-203,Lokesh Bansilal Kalal</t>
        </is>
      </c>
      <c r="C171" t="n">
        <v>50000</v>
      </c>
      <c r="F171" s="253" t="inlineStr">
        <is>
          <t>SH-20,Pukhraj Sankalram Kumhar/Ambika Kitchen Ware</t>
        </is>
      </c>
      <c r="G171" s="253" t="n">
        <v>0</v>
      </c>
      <c r="H171" s="253" t="n">
        <v>290380</v>
      </c>
      <c r="I171" s="253" t="n">
        <v>290380</v>
      </c>
      <c r="K171" s="255" t="inlineStr">
        <is>
          <t>K-1003, Sandeep Dave &amp; Mita Dave</t>
        </is>
      </c>
      <c r="L171" s="256" t="n">
        <v>495048</v>
      </c>
      <c r="O171" s="257" t="inlineStr">
        <is>
          <t>C/1001 Divyeshkumar Navnitlal Panchal</t>
        </is>
      </c>
      <c r="P171" s="1115" t="n">
        <v>44522</v>
      </c>
      <c r="R171" t="inlineStr">
        <is>
          <t>D-1204, Pravin Chaudhary &amp; Geeta Chaudhary</t>
        </is>
      </c>
      <c r="S171" t="n">
        <v>170100</v>
      </c>
    </row>
    <row r="172">
      <c r="B172" t="inlineStr">
        <is>
          <t>M-302 Ashishkumar Ramnareshsingh Parihar</t>
        </is>
      </c>
      <c r="C172" t="n">
        <v>50000</v>
      </c>
      <c r="F172" s="253" t="inlineStr">
        <is>
          <t>M-404, Mahavir Bhagwanjibhai Jadav</t>
        </is>
      </c>
      <c r="G172" s="253" t="n">
        <v>0</v>
      </c>
      <c r="H172" s="253" t="n">
        <v>259160</v>
      </c>
      <c r="I172" s="253" t="n">
        <v>259160</v>
      </c>
      <c r="K172" s="255" t="inlineStr">
        <is>
          <t>K-1004,Shubhangi Agarwal</t>
        </is>
      </c>
      <c r="L172" s="256" t="n">
        <v>-217173</v>
      </c>
      <c r="O172" s="257" t="inlineStr">
        <is>
          <t>D/1201 Shobhit Trapasiya</t>
        </is>
      </c>
      <c r="P172" s="1115" t="n">
        <v>39000</v>
      </c>
      <c r="R172" t="inlineStr">
        <is>
          <t>H-602, Harish Parmar</t>
        </is>
      </c>
      <c r="S172" t="n">
        <v>161000</v>
      </c>
    </row>
    <row r="173">
      <c r="B173" t="inlineStr">
        <is>
          <t>M-303,Shital Satyen Sheth</t>
        </is>
      </c>
      <c r="C173" t="n">
        <v>50000</v>
      </c>
      <c r="F173" s="253" t="inlineStr">
        <is>
          <t>A-1301, Aniruddha Dutta</t>
        </is>
      </c>
      <c r="G173" s="253" t="n">
        <v>0</v>
      </c>
      <c r="H173" s="253" t="n">
        <v>253500</v>
      </c>
      <c r="I173" s="253" t="n">
        <v>253500</v>
      </c>
      <c r="K173" s="255" t="inlineStr">
        <is>
          <t>K-104,Amogh Chitnis</t>
        </is>
      </c>
      <c r="L173" s="256" t="n">
        <v>550413</v>
      </c>
      <c r="O173" s="257" t="inlineStr">
        <is>
          <t>N-1301, Hunney Gor</t>
        </is>
      </c>
      <c r="P173" s="1115" t="n">
        <v>2200</v>
      </c>
      <c r="R173" t="inlineStr">
        <is>
          <t>E-1001, Mrudang Nimishbhai Fulwala</t>
        </is>
      </c>
      <c r="S173" t="n">
        <v>216000</v>
      </c>
    </row>
    <row r="174">
      <c r="B174" t="inlineStr">
        <is>
          <t>M-304, Nikhil Bhimji Padhiyar</t>
        </is>
      </c>
      <c r="C174" t="n">
        <v>50000</v>
      </c>
      <c r="F174" s="253" t="inlineStr">
        <is>
          <t>I-502,Dhaval Devanshubhai Trivedi</t>
        </is>
      </c>
      <c r="G174" s="253" t="n">
        <v>0</v>
      </c>
      <c r="H174" s="253" t="n">
        <v>204400</v>
      </c>
      <c r="I174" s="253" t="n">
        <v>204400</v>
      </c>
      <c r="K174" s="255" t="inlineStr">
        <is>
          <t>K-1104, Vineet Abbhi</t>
        </is>
      </c>
      <c r="L174" s="256" t="n">
        <v>43223</v>
      </c>
      <c r="O174" s="257" t="inlineStr">
        <is>
          <t>A-502, Brajesh Kumar / Shalini Bhardwaj</t>
        </is>
      </c>
      <c r="P174" s="1115" t="n">
        <v>40000</v>
      </c>
      <c r="R174" t="inlineStr">
        <is>
          <t>M-904,Praveen Bhargava</t>
        </is>
      </c>
      <c r="S174" t="n">
        <v>210700</v>
      </c>
    </row>
    <row r="175">
      <c r="B175" t="inlineStr">
        <is>
          <t>M-402,Bhumika Akashdeep Kadiya</t>
        </is>
      </c>
      <c r="C175" t="n">
        <v>50000</v>
      </c>
      <c r="F175" s="253" t="inlineStr">
        <is>
          <t>I-801, Richa Sharma</t>
        </is>
      </c>
      <c r="G175" s="253" t="n">
        <v>0</v>
      </c>
      <c r="H175" s="253" t="n">
        <v>263300</v>
      </c>
      <c r="I175" s="253" t="n">
        <v>263300</v>
      </c>
      <c r="K175" s="255" t="inlineStr">
        <is>
          <t>K-1201, Riya Dasgupta</t>
        </is>
      </c>
      <c r="L175" s="256" t="n">
        <v>43892</v>
      </c>
      <c r="O175" s="257" t="inlineStr">
        <is>
          <t>H-704. Pinkesh M. Mehta / Jaimini P.Mehta</t>
        </is>
      </c>
      <c r="P175" s="1115" t="n">
        <v>35275</v>
      </c>
      <c r="R175" t="inlineStr">
        <is>
          <t>M-803, Shital Satyen Sheth</t>
        </is>
      </c>
      <c r="S175" t="n">
        <v>146000</v>
      </c>
    </row>
    <row r="176">
      <c r="B176" t="inlineStr">
        <is>
          <t>M-403,Bhumika Akashdeep Kadiya</t>
        </is>
      </c>
      <c r="C176" t="n">
        <v>50000</v>
      </c>
      <c r="F176" s="253" t="inlineStr">
        <is>
          <t>I-703,Samir Suryakant Pallav</t>
        </is>
      </c>
      <c r="G176" s="253" t="n">
        <v>0</v>
      </c>
      <c r="H176" s="253" t="n">
        <v>168700</v>
      </c>
      <c r="I176" s="253" t="n">
        <v>168700</v>
      </c>
      <c r="K176" s="255" t="inlineStr">
        <is>
          <t>K-1202, Sagar Devajibhai Ladani</t>
        </is>
      </c>
      <c r="L176" s="256" t="n">
        <v>34652</v>
      </c>
      <c r="O176" s="257" t="inlineStr">
        <is>
          <t>J-802, Rushabh Shah</t>
        </is>
      </c>
      <c r="P176" s="1115" t="n">
        <v>41000</v>
      </c>
      <c r="R176" t="inlineStr">
        <is>
          <t>M-303,Shital Satyen Sheth</t>
        </is>
      </c>
      <c r="S176" t="n">
        <v>146000</v>
      </c>
    </row>
    <row r="177">
      <c r="B177" t="inlineStr">
        <is>
          <t>M-404, Mahavir Bhagwanjibhai Jadav</t>
        </is>
      </c>
      <c r="C177" t="n">
        <v>50000</v>
      </c>
      <c r="F177" s="253" t="inlineStr">
        <is>
          <t>C/1304,Chetnaben Vallabhbhai Bavariya</t>
        </is>
      </c>
      <c r="G177" s="253" t="n">
        <v>182907.7</v>
      </c>
      <c r="H177" s="253" t="n">
        <v>183990</v>
      </c>
      <c r="I177" s="253" t="n">
        <v>1082.299999999988</v>
      </c>
      <c r="K177" s="255" t="inlineStr">
        <is>
          <t>K-1204, Suman Mohanty</t>
        </is>
      </c>
      <c r="L177" s="256" t="n">
        <v>43892</v>
      </c>
      <c r="O177" s="257" t="inlineStr">
        <is>
          <t>A/204,Vipul Mistry</t>
        </is>
      </c>
      <c r="P177" s="1115" t="n">
        <v>36416</v>
      </c>
      <c r="R177" t="inlineStr">
        <is>
          <t>F-101, Jatin Prakash Gupta</t>
        </is>
      </c>
      <c r="S177" t="n">
        <v>162500</v>
      </c>
    </row>
    <row r="178">
      <c r="B178" t="inlineStr">
        <is>
          <t>M-801 Tarak B. Shah, Anjana Chauhan</t>
        </is>
      </c>
      <c r="C178" t="n">
        <v>50000</v>
      </c>
      <c r="F178" s="253" t="inlineStr">
        <is>
          <t>C-603,Umesh Shishivandan Pandya</t>
        </is>
      </c>
      <c r="G178" s="253" t="n">
        <v>0</v>
      </c>
      <c r="H178" s="253" t="n">
        <v>212136</v>
      </c>
      <c r="I178" s="253" t="n">
        <v>212136</v>
      </c>
      <c r="K178" s="255" t="inlineStr">
        <is>
          <t>K-1303, Unnati Manubhai Chitroda</t>
        </is>
      </c>
      <c r="L178" s="256" t="n">
        <v>43892</v>
      </c>
      <c r="O178" s="257" t="inlineStr">
        <is>
          <t>J-802, Rushabh Shah</t>
        </is>
      </c>
      <c r="P178" s="1115" t="n">
        <v>50000</v>
      </c>
      <c r="R178" t="inlineStr">
        <is>
          <t>J-1203, Hitesh P.Lumbhani</t>
        </is>
      </c>
      <c r="S178" t="n">
        <v>216000</v>
      </c>
    </row>
    <row r="179">
      <c r="B179" t="inlineStr">
        <is>
          <t>M-803, Shital Satyen Sheth</t>
        </is>
      </c>
      <c r="C179" t="n">
        <v>50000</v>
      </c>
      <c r="F179" s="253" t="inlineStr">
        <is>
          <t>G-603, Nitin Raghunath Devle</t>
        </is>
      </c>
      <c r="G179" s="253" t="n">
        <v>0</v>
      </c>
      <c r="H179" s="253" t="n">
        <v>238600</v>
      </c>
      <c r="I179" s="253" t="n">
        <v>238600</v>
      </c>
      <c r="K179" s="255" t="inlineStr">
        <is>
          <t>K-202,Chinjal Lalitkumar Modi</t>
        </is>
      </c>
      <c r="L179" s="256" t="n">
        <v>34654</v>
      </c>
      <c r="O179" s="257" t="inlineStr">
        <is>
          <t>L-801, Kajal M. Mishra</t>
        </is>
      </c>
      <c r="P179" s="1115" t="n">
        <v>3000</v>
      </c>
      <c r="R179" t="inlineStr">
        <is>
          <t>B-1104, Manoj Sharma</t>
        </is>
      </c>
      <c r="S179" t="n">
        <v>212020</v>
      </c>
    </row>
    <row r="180">
      <c r="B180" t="inlineStr">
        <is>
          <t>M-901, Alap Lavjibhai Ramani</t>
        </is>
      </c>
      <c r="C180" t="n">
        <v>50000</v>
      </c>
      <c r="F180" s="253" t="inlineStr">
        <is>
          <t>O-402, Hardik Dilip Doshi</t>
        </is>
      </c>
      <c r="G180" s="253" t="n">
        <v>0</v>
      </c>
      <c r="H180" s="253" t="n">
        <v>220500</v>
      </c>
      <c r="I180" s="253" t="n">
        <v>220500</v>
      </c>
      <c r="K180" s="255" t="inlineStr">
        <is>
          <t>K/203, Priteshkumar P.Upadhyay, Paresh U</t>
        </is>
      </c>
      <c r="L180" s="256" t="n">
        <v>49504</v>
      </c>
      <c r="O180" s="257" t="inlineStr">
        <is>
          <t>O/901 Mansukhani Geetadevi</t>
        </is>
      </c>
      <c r="P180" s="1115" t="n">
        <v>2000</v>
      </c>
      <c r="R180" t="inlineStr">
        <is>
          <t>F-302,Jaimin Barot</t>
        </is>
      </c>
      <c r="S180" t="n">
        <v>197380</v>
      </c>
    </row>
    <row r="181">
      <c r="B181" t="inlineStr">
        <is>
          <t>M-904,Praveen Bhargava</t>
        </is>
      </c>
      <c r="C181" t="n">
        <v>50000</v>
      </c>
      <c r="F181" s="253" t="inlineStr">
        <is>
          <t>D-1204, Pravin Chaudhary &amp; Geeta Chaudhary</t>
        </is>
      </c>
      <c r="G181" s="253" t="n">
        <v>0</v>
      </c>
      <c r="H181" s="253" t="n">
        <v>172300</v>
      </c>
      <c r="I181" s="253" t="n">
        <v>172300</v>
      </c>
      <c r="K181" s="255" t="inlineStr">
        <is>
          <t>K/302, Soumendrakumar Behera</t>
        </is>
      </c>
      <c r="L181" s="256" t="n">
        <v>44069</v>
      </c>
      <c r="O181" s="257" t="inlineStr">
        <is>
          <t>SH-20,Pukhraj Sankalram Kumhar/Ambika Kitchen Ware</t>
        </is>
      </c>
      <c r="P181" s="1115" t="n">
        <v>25640</v>
      </c>
      <c r="R181" t="inlineStr">
        <is>
          <t>E-1202, Riya Murawat</t>
        </is>
      </c>
      <c r="S181" t="n">
        <v>200372</v>
      </c>
    </row>
    <row r="182">
      <c r="B182" t="inlineStr">
        <is>
          <t>N-1001, Vikash Mtta</t>
        </is>
      </c>
      <c r="C182" t="n">
        <v>50000</v>
      </c>
      <c r="F182" s="253" t="inlineStr">
        <is>
          <t>H-602, Harish Parmar</t>
        </is>
      </c>
      <c r="G182" s="253" t="n">
        <v>0</v>
      </c>
      <c r="H182" s="253" t="n">
        <v>163200</v>
      </c>
      <c r="I182" s="253" t="n">
        <v>163200</v>
      </c>
      <c r="K182" s="255" t="inlineStr">
        <is>
          <t>K/303 Jaykumar Raval</t>
        </is>
      </c>
      <c r="L182" s="256" t="n">
        <v>39514</v>
      </c>
      <c r="O182" s="257" t="inlineStr">
        <is>
          <t>M-404, Mahavir Bhagwanjibhai Jadav</t>
        </is>
      </c>
      <c r="P182" s="1115" t="n">
        <v>43930</v>
      </c>
      <c r="R182" t="inlineStr">
        <is>
          <t>J-803, Pareshkumar M &amp; Rekhaben P. Popat</t>
        </is>
      </c>
      <c r="S182" t="n">
        <v>139000</v>
      </c>
    </row>
    <row r="183">
      <c r="B183" t="inlineStr">
        <is>
          <t>N-1003, Neil Michael</t>
        </is>
      </c>
      <c r="C183" t="n">
        <v>50000</v>
      </c>
      <c r="F183" s="253" t="inlineStr">
        <is>
          <t>E-1001, Mrudang Nimishbhai Fulwala</t>
        </is>
      </c>
      <c r="G183" s="253" t="n">
        <v>0</v>
      </c>
      <c r="H183" s="253" t="n">
        <v>262000</v>
      </c>
      <c r="I183" s="253" t="n">
        <v>262000</v>
      </c>
      <c r="K183" s="255" t="inlineStr">
        <is>
          <t>K-402,Ravinjay Tiwari</t>
        </is>
      </c>
      <c r="L183" s="256" t="n">
        <v>43564</v>
      </c>
      <c r="O183" s="257" t="inlineStr">
        <is>
          <t>A-1301, Aniruddha Dutta</t>
        </is>
      </c>
      <c r="P183" s="1115" t="n">
        <v>44500</v>
      </c>
      <c r="R183" t="inlineStr">
        <is>
          <t>SH-20,Pukhraj Sankalram Kumhar/Ambika Kitchen Ware</t>
        </is>
      </c>
      <c r="S183" t="n">
        <v>119550</v>
      </c>
    </row>
    <row r="184">
      <c r="B184" t="inlineStr">
        <is>
          <t>N-101,Abhishek Rajguru</t>
        </is>
      </c>
      <c r="C184" t="n">
        <v>50000</v>
      </c>
      <c r="F184" s="253" t="inlineStr">
        <is>
          <t>M-904,Praveen Bhargava</t>
        </is>
      </c>
      <c r="G184" s="253" t="n">
        <v>0</v>
      </c>
      <c r="H184" s="253" t="n">
        <v>255700</v>
      </c>
      <c r="I184" s="253" t="n">
        <v>255700</v>
      </c>
      <c r="K184" s="255" t="inlineStr">
        <is>
          <t>K-403,Mahesh Madhukar Bharambe</t>
        </is>
      </c>
      <c r="L184" s="256" t="n">
        <v>40130</v>
      </c>
      <c r="O184" s="257" t="inlineStr">
        <is>
          <t>I-502,Dhaval Devanshubhai Trivedi</t>
        </is>
      </c>
      <c r="P184" s="1115" t="n">
        <v>36300</v>
      </c>
      <c r="R184" t="inlineStr">
        <is>
          <t>SH-305,Jitesh Maganlal Shah</t>
        </is>
      </c>
      <c r="S184" t="n">
        <v>133200</v>
      </c>
    </row>
    <row r="185">
      <c r="B185" t="inlineStr">
        <is>
          <t>N-1103,Sumanta Bose</t>
        </is>
      </c>
      <c r="C185" t="n">
        <v>50000</v>
      </c>
      <c r="F185" s="253" t="inlineStr">
        <is>
          <t>M-803, Shital Satyen Sheth</t>
        </is>
      </c>
      <c r="G185" s="253" t="n">
        <v>176407.7</v>
      </c>
      <c r="H185" s="253" t="n">
        <v>146000</v>
      </c>
      <c r="I185" s="253" t="n">
        <v>-30407.70000000001</v>
      </c>
      <c r="K185" s="255" t="inlineStr">
        <is>
          <t>K-501,Vivek Goad / Raksha Sharma</t>
        </is>
      </c>
      <c r="L185" s="256" t="n">
        <v>43283.99999999994</v>
      </c>
      <c r="O185" s="257" t="inlineStr">
        <is>
          <t>E-1104, Priyanka Yadav, Pradeep Yadav</t>
        </is>
      </c>
      <c r="P185" s="1115" t="n">
        <v>39500</v>
      </c>
      <c r="R185" t="inlineStr">
        <is>
          <t>E-1104, Priyanka Yadav, Pradeep Yadav</t>
        </is>
      </c>
      <c r="S185" t="n">
        <v>51356</v>
      </c>
    </row>
    <row r="186">
      <c r="B186" t="inlineStr">
        <is>
          <t>N-202, Jaydevsinh Rana, Yuvraj Rana</t>
        </is>
      </c>
      <c r="C186" t="n">
        <v>50000</v>
      </c>
      <c r="F186" s="253" t="inlineStr">
        <is>
          <t>M-303,Shital Satyen Sheth</t>
        </is>
      </c>
      <c r="G186" s="253" t="n">
        <v>176407.7</v>
      </c>
      <c r="H186" s="253" t="n">
        <v>146000</v>
      </c>
      <c r="I186" s="253" t="n">
        <v>-30407.70000000001</v>
      </c>
      <c r="K186" s="255" t="inlineStr">
        <is>
          <t>K,503 Ishwar Harjibhai Kanjariya</t>
        </is>
      </c>
      <c r="L186" s="256" t="n">
        <v>43564</v>
      </c>
      <c r="O186" s="257" t="inlineStr">
        <is>
          <t>I-801, Richa Sharma</t>
        </is>
      </c>
      <c r="P186" s="1115" t="n">
        <v>46300</v>
      </c>
      <c r="R186" t="inlineStr">
        <is>
          <t>K-1303, Unnati Manubhai Chitroda</t>
        </is>
      </c>
      <c r="S186" t="n">
        <v>218000</v>
      </c>
    </row>
    <row r="187">
      <c r="B187" t="inlineStr">
        <is>
          <t>N-302, Chetnaben Rathod</t>
        </is>
      </c>
      <c r="C187" t="n">
        <v>50000</v>
      </c>
      <c r="F187" s="253" t="inlineStr">
        <is>
          <t>F-101, Jatin Prakash Gupta</t>
        </is>
      </c>
      <c r="G187" s="253" t="n">
        <v>0</v>
      </c>
      <c r="H187" s="253" t="n">
        <v>164700</v>
      </c>
      <c r="I187" s="253" t="n">
        <v>164700</v>
      </c>
      <c r="K187" s="255" t="inlineStr">
        <is>
          <t>K-504,Udaykumar Vipinbhai Dave</t>
        </is>
      </c>
      <c r="L187" s="256" t="n">
        <v>44274</v>
      </c>
      <c r="O187" s="257" t="inlineStr">
        <is>
          <t>I-703,Samir Suryakant Pallav</t>
        </is>
      </c>
      <c r="P187" s="1115" t="n">
        <v>30300</v>
      </c>
      <c r="R187" t="inlineStr">
        <is>
          <t>H-502,Avisha Chintan Shah</t>
        </is>
      </c>
      <c r="S187" t="n">
        <v>162500</v>
      </c>
    </row>
    <row r="188">
      <c r="B188" t="inlineStr">
        <is>
          <t>N-502, Sanjaykumar Mistry</t>
        </is>
      </c>
      <c r="C188" t="n">
        <v>50000</v>
      </c>
      <c r="F188" s="253" t="inlineStr">
        <is>
          <t>J-1203, Hitesh P.Lumbhani</t>
        </is>
      </c>
      <c r="G188" s="253" t="n">
        <v>0</v>
      </c>
      <c r="H188" s="253" t="n">
        <v>262000</v>
      </c>
      <c r="I188" s="253" t="n">
        <v>262000</v>
      </c>
      <c r="K188" s="255" t="inlineStr">
        <is>
          <t>K-601, Harshad Jain</t>
        </is>
      </c>
      <c r="L188" s="256" t="n">
        <v>37414</v>
      </c>
      <c r="O188" s="257" t="inlineStr">
        <is>
          <t>C-603,Umesh Shishivandan Pandya</t>
        </is>
      </c>
      <c r="P188" s="1115" t="n">
        <v>37616</v>
      </c>
      <c r="R188" t="inlineStr">
        <is>
          <t>P-1004, Pratik Babulal Faldu</t>
        </is>
      </c>
      <c r="S188" t="n">
        <v>183800</v>
      </c>
    </row>
    <row r="189">
      <c r="B189" t="inlineStr">
        <is>
          <t>N-503, Yash Satwani / Kiran Satwani</t>
        </is>
      </c>
      <c r="C189" t="n">
        <v>50000</v>
      </c>
      <c r="F189" s="253" t="inlineStr">
        <is>
          <t>B-1104, Manoj Sharma</t>
        </is>
      </c>
      <c r="G189" s="253" t="n">
        <v>0</v>
      </c>
      <c r="H189" s="253" t="n">
        <v>214020</v>
      </c>
      <c r="I189" s="253" t="n">
        <v>214020</v>
      </c>
      <c r="K189" s="255" t="inlineStr">
        <is>
          <t>K-602, Kishor Devshibhai Vagh</t>
        </is>
      </c>
      <c r="L189" s="256" t="n">
        <v>700990</v>
      </c>
      <c r="O189" s="257" t="inlineStr">
        <is>
          <t>G-603, Nitin Raghunath Devle</t>
        </is>
      </c>
      <c r="P189" s="1115" t="n">
        <v>42100</v>
      </c>
      <c r="R189" t="inlineStr">
        <is>
          <t>E-1103, Hiren Kavad</t>
        </is>
      </c>
      <c r="S189" t="n">
        <v>203796</v>
      </c>
    </row>
    <row r="190">
      <c r="B190" t="inlineStr">
        <is>
          <t>O/1004, Soliya Naval Bhikhubhai</t>
        </is>
      </c>
      <c r="C190" t="n">
        <v>50000</v>
      </c>
      <c r="F190" s="253" t="inlineStr">
        <is>
          <t>K-1004,Shubhangi Agarwal</t>
        </is>
      </c>
      <c r="G190" s="253" t="n">
        <v>0</v>
      </c>
      <c r="H190" s="253" t="n">
        <v>217173</v>
      </c>
      <c r="I190" s="253" t="n">
        <v>217173</v>
      </c>
      <c r="K190" s="255" t="inlineStr">
        <is>
          <t>K/603, Ramchandra Bhikha Mahajan</t>
        </is>
      </c>
      <c r="L190" s="256" t="n">
        <v>39604</v>
      </c>
      <c r="O190" s="257" t="inlineStr">
        <is>
          <t>O-402, Hardik Dilip Doshi</t>
        </is>
      </c>
      <c r="P190" s="1115" t="n">
        <v>39000</v>
      </c>
      <c r="R190" t="inlineStr">
        <is>
          <t>I-1102, Dhruv Manishbhai Shah &amp; Bhavikaben M.</t>
        </is>
      </c>
      <c r="S190" t="n">
        <v>217218</v>
      </c>
    </row>
    <row r="191">
      <c r="B191" t="inlineStr">
        <is>
          <t>O/903 Rahul / Mahendra N.Andharia</t>
        </is>
      </c>
      <c r="C191" t="n">
        <v>50000</v>
      </c>
      <c r="F191" s="253" t="inlineStr">
        <is>
          <t>F-302,Jaimin Barot</t>
        </is>
      </c>
      <c r="G191" s="253" t="n">
        <v>0</v>
      </c>
      <c r="H191" s="253" t="n">
        <v>239658</v>
      </c>
      <c r="I191" s="253" t="n">
        <v>239658</v>
      </c>
      <c r="K191" s="255" t="inlineStr">
        <is>
          <t>K-604,Bhavika &amp; Vijay Parshotambhai Patel</t>
        </is>
      </c>
      <c r="L191" s="256" t="n">
        <v>43831</v>
      </c>
      <c r="O191" s="257" t="inlineStr">
        <is>
          <t>D-1204, Pravin Chaudhary &amp; Geeta Chaudhary</t>
        </is>
      </c>
      <c r="P191" s="1115" t="n">
        <v>2200</v>
      </c>
      <c r="R191" t="inlineStr">
        <is>
          <t>I-1103,Nikunjbhai Rameshbhai Kagathara</t>
        </is>
      </c>
      <c r="S191" t="n">
        <v>195600</v>
      </c>
    </row>
    <row r="192">
      <c r="B192" t="inlineStr">
        <is>
          <t>O-103, Rakesh Jangid</t>
        </is>
      </c>
      <c r="C192" t="n">
        <v>50000</v>
      </c>
      <c r="F192" s="253" t="inlineStr">
        <is>
          <t>E-1202, Riya Murawat</t>
        </is>
      </c>
      <c r="G192" s="253" t="n">
        <v>0</v>
      </c>
      <c r="H192" s="253" t="n">
        <v>243264</v>
      </c>
      <c r="I192" s="253" t="n">
        <v>243264</v>
      </c>
      <c r="K192" s="255" t="inlineStr">
        <is>
          <t>K-701, Amita Kamlesh Soni</t>
        </is>
      </c>
      <c r="L192" s="256" t="n">
        <v>36535</v>
      </c>
      <c r="O192" s="257" t="inlineStr">
        <is>
          <t>H-602, Harish Parmar</t>
        </is>
      </c>
      <c r="P192" s="1115" t="n">
        <v>2200</v>
      </c>
      <c r="R192" t="inlineStr">
        <is>
          <t>I-1203,Gopal Jiva/ Harjivan G / Dilip G.Jiva</t>
        </is>
      </c>
      <c r="S192" t="n">
        <v>195600</v>
      </c>
    </row>
    <row r="193">
      <c r="B193" t="inlineStr">
        <is>
          <t>O-1202, Jay Chandrakant Shah</t>
        </is>
      </c>
      <c r="C193" t="n">
        <v>50000</v>
      </c>
      <c r="F193" s="253" t="inlineStr">
        <is>
          <t>J-803, Pareshkumar M &amp; Rekhaben P. Popat</t>
        </is>
      </c>
      <c r="G193" s="253" t="n">
        <v>0</v>
      </c>
      <c r="H193" s="253" t="n">
        <v>169500</v>
      </c>
      <c r="I193" s="253" t="n">
        <v>169500</v>
      </c>
      <c r="K193" s="255" t="inlineStr">
        <is>
          <t>K-702,Tapan Jayeshbhai Khimani</t>
        </is>
      </c>
      <c r="L193" s="256" t="n">
        <v>43564</v>
      </c>
      <c r="O193" s="257" t="inlineStr">
        <is>
          <t>E-1001, Mrudang Nimishbhai Fulwala</t>
        </is>
      </c>
      <c r="P193" s="1115" t="n">
        <v>46000</v>
      </c>
      <c r="R193" t="inlineStr">
        <is>
          <t>E-1103, Hiren Kavad</t>
        </is>
      </c>
      <c r="S193" t="n">
        <v>43506</v>
      </c>
    </row>
    <row r="194">
      <c r="B194" t="inlineStr">
        <is>
          <t>O-203, Manish Kumar Gupta</t>
        </is>
      </c>
      <c r="C194" t="n">
        <v>50000</v>
      </c>
      <c r="F194" s="253" t="inlineStr">
        <is>
          <t>K-1303, Unnati Manubhai Chitroda</t>
        </is>
      </c>
      <c r="G194" s="253" t="n">
        <v>0</v>
      </c>
      <c r="H194" s="253" t="n">
        <v>220200</v>
      </c>
      <c r="I194" s="253" t="n">
        <v>220200</v>
      </c>
      <c r="K194" s="255" t="inlineStr">
        <is>
          <t>K-703,Tejas Hareshbhai Pansaniya</t>
        </is>
      </c>
      <c r="L194" s="256" t="n">
        <v>43764</v>
      </c>
      <c r="O194" s="257" t="inlineStr">
        <is>
          <t>M-904,Praveen Bhargava</t>
        </is>
      </c>
      <c r="P194" s="1115" t="n">
        <v>45000</v>
      </c>
      <c r="R194" t="inlineStr">
        <is>
          <t>O-801;Amit Kumar</t>
        </is>
      </c>
      <c r="S194" t="n">
        <v>165500</v>
      </c>
    </row>
    <row r="195">
      <c r="B195" t="inlineStr">
        <is>
          <t>O-402, Hardik Dilip Doshi</t>
        </is>
      </c>
      <c r="C195" t="n">
        <v>50000</v>
      </c>
      <c r="F195" s="253" t="inlineStr">
        <is>
          <t>H-502,Avisha Chintan Shah</t>
        </is>
      </c>
      <c r="G195" s="253" t="n">
        <v>0</v>
      </c>
      <c r="H195" s="253" t="n">
        <v>164500</v>
      </c>
      <c r="I195" s="253" t="n">
        <v>164500</v>
      </c>
      <c r="K195" s="255" t="inlineStr">
        <is>
          <t>K-801, Viral Bhayani</t>
        </is>
      </c>
      <c r="L195" s="256" t="n">
        <v>-229000</v>
      </c>
      <c r="O195" s="257" t="inlineStr">
        <is>
          <t>F-101, Jatin Prakash Gupta</t>
        </is>
      </c>
      <c r="P195" s="1115" t="n">
        <v>2200</v>
      </c>
      <c r="R195" t="inlineStr">
        <is>
          <t>N-503, Yash Satwani / Kiran Satwani</t>
        </is>
      </c>
      <c r="S195" t="n">
        <v>138400</v>
      </c>
    </row>
    <row r="196">
      <c r="B196" t="inlineStr">
        <is>
          <t>O-403,Jayesh Mansukhbhai Solanki</t>
        </is>
      </c>
      <c r="C196" t="n">
        <v>50000</v>
      </c>
      <c r="F196" s="253" t="inlineStr">
        <is>
          <t>P-1004, Pratik Babulal Faldu</t>
        </is>
      </c>
      <c r="G196" s="253" t="n">
        <v>0</v>
      </c>
      <c r="H196" s="253" t="n">
        <v>223310</v>
      </c>
      <c r="I196" s="253" t="n">
        <v>223310</v>
      </c>
      <c r="K196" s="255" t="inlineStr">
        <is>
          <t>K/802,Vipul Kulshrestha</t>
        </is>
      </c>
      <c r="L196" s="256" t="n">
        <v>43564</v>
      </c>
      <c r="O196" s="257" t="inlineStr">
        <is>
          <t>J-1203, Hitesh P.Lumbhani</t>
        </is>
      </c>
      <c r="P196" s="1115" t="n">
        <v>46000</v>
      </c>
      <c r="R196" t="inlineStr">
        <is>
          <t>A-1304, Palak Harshadkumar Popat</t>
        </is>
      </c>
      <c r="S196" t="n">
        <v>189700</v>
      </c>
    </row>
    <row r="197">
      <c r="B197" t="inlineStr">
        <is>
          <t>O-404, Dilip Narsinhbhai Ghedia</t>
        </is>
      </c>
      <c r="C197" t="n">
        <v>50000</v>
      </c>
      <c r="F197" s="253" t="inlineStr">
        <is>
          <t>E-1103, Hiren Kavad</t>
        </is>
      </c>
      <c r="G197" s="253" t="n">
        <v>0</v>
      </c>
      <c r="H197" s="253" t="n">
        <v>247302</v>
      </c>
      <c r="I197" s="253" t="n">
        <v>247302</v>
      </c>
      <c r="K197" s="255" t="inlineStr">
        <is>
          <t>K/804, Dineshchandra C. Shah</t>
        </is>
      </c>
      <c r="L197" s="256" t="n">
        <v>0</v>
      </c>
      <c r="O197" s="257" t="inlineStr">
        <is>
          <t>B-1104, Manoj Sharma</t>
        </is>
      </c>
      <c r="P197" s="1115" t="n">
        <v>2000</v>
      </c>
      <c r="R197" t="inlineStr">
        <is>
          <t>K-1002, Deepakkumar Shantilal Kamani</t>
        </is>
      </c>
      <c r="S197" t="n">
        <v>157000</v>
      </c>
    </row>
    <row r="198">
      <c r="B198" t="inlineStr">
        <is>
          <t>O-502, Jay Rajeshkumar Shah</t>
        </is>
      </c>
      <c r="C198" t="n">
        <v>50000</v>
      </c>
      <c r="F198" s="253" t="inlineStr">
        <is>
          <t>I-1102, Dhruv Manishbhai Shah &amp; Bhavikaben M.</t>
        </is>
      </c>
      <c r="G198" s="253" t="n">
        <v>0</v>
      </c>
      <c r="H198" s="253" t="n">
        <v>263548</v>
      </c>
      <c r="I198" s="253" t="n">
        <v>263548</v>
      </c>
      <c r="K198" s="255" t="inlineStr">
        <is>
          <t>K-901,Rupesh Mafatlal Patel</t>
        </is>
      </c>
      <c r="L198" s="256" t="n">
        <v>360396</v>
      </c>
      <c r="O198" s="257" t="inlineStr">
        <is>
          <t>F-302,Jaimin Barot</t>
        </is>
      </c>
      <c r="P198" s="1115" t="n">
        <v>42278</v>
      </c>
      <c r="R198" t="inlineStr">
        <is>
          <t>J-902,Om Vikramkumar Popat</t>
        </is>
      </c>
      <c r="S198" t="n">
        <v>139000</v>
      </c>
    </row>
    <row r="199">
      <c r="B199" t="inlineStr">
        <is>
          <t>O-701, Harshil Vipiulbhai Chandarana</t>
        </is>
      </c>
      <c r="C199" t="n">
        <v>50000</v>
      </c>
      <c r="F199" s="253" t="inlineStr">
        <is>
          <t>I-1103,Nikunjbhai Rameshbhai Kagathara</t>
        </is>
      </c>
      <c r="G199" s="253" t="n">
        <v>0</v>
      </c>
      <c r="H199" s="253" t="n">
        <v>235114</v>
      </c>
      <c r="I199" s="253" t="n">
        <v>235114</v>
      </c>
      <c r="K199" s="255" t="inlineStr">
        <is>
          <t>L-1001, Krushnadas Manvar</t>
        </is>
      </c>
      <c r="L199" s="256" t="n">
        <v>0</v>
      </c>
      <c r="O199" s="257" t="inlineStr">
        <is>
          <t>E-1202, Riya Murawat</t>
        </is>
      </c>
      <c r="P199" s="1115" t="n">
        <v>42892</v>
      </c>
      <c r="R199" t="inlineStr">
        <is>
          <t>J-704,Meghana Soni</t>
        </is>
      </c>
      <c r="S199" t="n">
        <v>197100</v>
      </c>
    </row>
    <row r="200">
      <c r="B200" t="inlineStr">
        <is>
          <t>O-703, Rahul M. Andharia</t>
        </is>
      </c>
      <c r="C200" t="n">
        <v>50000</v>
      </c>
      <c r="F200" s="253" t="inlineStr">
        <is>
          <t>I-1203,Gopal Jiva/ Harjivan G / Dilip G.Jiva</t>
        </is>
      </c>
      <c r="G200" s="253" t="n">
        <v>0</v>
      </c>
      <c r="H200" s="253" t="n">
        <v>237600</v>
      </c>
      <c r="I200" s="253" t="n">
        <v>237600</v>
      </c>
      <c r="K200" s="255" t="inlineStr">
        <is>
          <t>L-1002,Nilesh Bhalchandra Yeole</t>
        </is>
      </c>
      <c r="L200" s="256" t="n">
        <v>746874</v>
      </c>
      <c r="O200" s="257" t="inlineStr">
        <is>
          <t>J-803, Pareshkumar M &amp; Rekhaben P. Popat</t>
        </is>
      </c>
      <c r="P200" s="1115" t="n">
        <v>30500</v>
      </c>
      <c r="R200" t="inlineStr">
        <is>
          <t>P-302,Vidhyarth Shankar</t>
        </is>
      </c>
      <c r="S200" t="n">
        <v>185100</v>
      </c>
    </row>
    <row r="201">
      <c r="B201" t="inlineStr">
        <is>
          <t>O-801;Amit Kumar</t>
        </is>
      </c>
      <c r="C201" t="n">
        <v>50000</v>
      </c>
      <c r="F201" s="253" t="inlineStr">
        <is>
          <t>O-801;Amit Kumar</t>
        </is>
      </c>
      <c r="G201" s="253" t="n">
        <v>0</v>
      </c>
      <c r="H201" s="253" t="n">
        <v>200100</v>
      </c>
      <c r="I201" s="253" t="n">
        <v>200100</v>
      </c>
      <c r="K201" s="255" t="inlineStr">
        <is>
          <t>L-102, Hariom Jagdishbhai Hariyani</t>
        </is>
      </c>
      <c r="L201" s="256" t="n">
        <v>99010</v>
      </c>
      <c r="O201" s="257" t="inlineStr">
        <is>
          <t>K,503 Ishwar Harjibhai Kanjariya</t>
        </is>
      </c>
      <c r="P201" s="1115" t="n">
        <v>46000</v>
      </c>
      <c r="R201" t="inlineStr">
        <is>
          <t>K-601, Harshad Jain</t>
        </is>
      </c>
      <c r="S201" t="n">
        <v>185200</v>
      </c>
    </row>
    <row r="202">
      <c r="B202" t="inlineStr">
        <is>
          <t>O-802,Bhadaniya Chand</t>
        </is>
      </c>
      <c r="C202" t="n">
        <v>50000</v>
      </c>
      <c r="F202" s="253" t="inlineStr">
        <is>
          <t>A-1304, Palak Harshadkumar Popat</t>
        </is>
      </c>
      <c r="G202" s="253" t="n">
        <v>0</v>
      </c>
      <c r="H202" s="253" t="n">
        <v>230500</v>
      </c>
      <c r="I202" s="253" t="n">
        <v>230500</v>
      </c>
      <c r="K202" s="255" t="inlineStr">
        <is>
          <t>L-1101,Pratapsingh</t>
        </is>
      </c>
      <c r="L202" s="256" t="n">
        <v>43537</v>
      </c>
      <c r="O202" s="257" t="inlineStr">
        <is>
          <t>O-803, Rahul M.Andharia</t>
        </is>
      </c>
      <c r="P202" s="1115" t="n">
        <v>40500</v>
      </c>
      <c r="R202" t="inlineStr">
        <is>
          <t>M/1304, Rajvi R.Chalishazar &amp; Hardik N. Radia</t>
        </is>
      </c>
      <c r="S202" t="n">
        <v>171300</v>
      </c>
    </row>
    <row r="203">
      <c r="B203" t="inlineStr">
        <is>
          <t>O-803, Rahul M.Andharia</t>
        </is>
      </c>
      <c r="C203" t="n">
        <v>50000</v>
      </c>
      <c r="F203" s="253" t="inlineStr">
        <is>
          <t>K-1002, Deepakkumar Shantilal Kamani</t>
        </is>
      </c>
      <c r="G203" s="253" t="n">
        <v>0</v>
      </c>
      <c r="H203" s="253" t="n">
        <v>191000</v>
      </c>
      <c r="I203" s="253" t="n">
        <v>191000</v>
      </c>
      <c r="K203" s="255" t="inlineStr">
        <is>
          <t>L1102,Sudhanshu Agarwal</t>
        </is>
      </c>
      <c r="L203" s="256" t="n">
        <v>495050</v>
      </c>
      <c r="O203" s="257" t="inlineStr">
        <is>
          <t>C/1304,Chetnaben Vallabhbhai Bavariya</t>
        </is>
      </c>
      <c r="P203" s="1115" t="n">
        <v>2200</v>
      </c>
      <c r="R203" t="inlineStr">
        <is>
          <t>K-1104, Vineet Abbhi</t>
        </is>
      </c>
      <c r="S203" t="n">
        <v>214000</v>
      </c>
    </row>
    <row r="204">
      <c r="B204" t="inlineStr">
        <is>
          <t>O-804,Rahulkumar Dharecha</t>
        </is>
      </c>
      <c r="C204" t="n">
        <v>50000</v>
      </c>
      <c r="F204" s="253" t="inlineStr">
        <is>
          <t>M-403,Bhumika Akashdeep Kadiya</t>
        </is>
      </c>
      <c r="G204" s="253" t="n">
        <v>0</v>
      </c>
      <c r="H204" s="253" t="n">
        <v>168650</v>
      </c>
      <c r="I204" s="253" t="n">
        <v>168650</v>
      </c>
      <c r="K204" s="255" t="inlineStr">
        <is>
          <t>L/1204 Vidhi Tank After Bu</t>
        </is>
      </c>
      <c r="L204" s="256" t="n">
        <v>700000</v>
      </c>
      <c r="O204" s="257" t="inlineStr">
        <is>
          <t>K-1303, Unnati Manubhai Chitroda</t>
        </is>
      </c>
      <c r="P204" s="1115" t="n">
        <v>2200</v>
      </c>
      <c r="R204" t="inlineStr">
        <is>
          <t>I-902, Nilesh Odedara</t>
        </is>
      </c>
      <c r="S204" t="n">
        <v>197700</v>
      </c>
    </row>
    <row r="205">
      <c r="B205" t="inlineStr">
        <is>
          <t>P-1001, Samruddhi &amp; Sandeep Mekde</t>
        </is>
      </c>
      <c r="C205" t="n">
        <v>50000</v>
      </c>
      <c r="F205" s="253" t="inlineStr">
        <is>
          <t>M-402,Bhumika Akashdeep Kadiya</t>
        </is>
      </c>
      <c r="G205" s="253" t="n">
        <v>0</v>
      </c>
      <c r="H205" s="253" t="n">
        <v>168650</v>
      </c>
      <c r="I205" s="253" t="n">
        <v>168650</v>
      </c>
      <c r="K205" s="255" t="inlineStr">
        <is>
          <t>L-1301,Urveshbhai Hareshbhai Patel</t>
        </is>
      </c>
      <c r="L205" s="256" t="n">
        <v>3465346</v>
      </c>
      <c r="O205" s="257" t="inlineStr">
        <is>
          <t>H-502,Avisha Chintan Shah</t>
        </is>
      </c>
      <c r="P205" s="1115" t="n">
        <v>2000</v>
      </c>
      <c r="R205" t="inlineStr">
        <is>
          <t>I-902, Nilesh Odedara</t>
        </is>
      </c>
      <c r="S205" t="n">
        <v>50000</v>
      </c>
    </row>
    <row r="206">
      <c r="B206" t="inlineStr">
        <is>
          <t>P-1002,Brajeshkumar Malaviya</t>
        </is>
      </c>
      <c r="C206" t="n">
        <v>50000</v>
      </c>
      <c r="F206" s="253" t="inlineStr">
        <is>
          <t>J-902,Om Vikramkumar Popat</t>
        </is>
      </c>
      <c r="G206" s="253" t="n">
        <v>0</v>
      </c>
      <c r="H206" s="253" t="n">
        <v>219500</v>
      </c>
      <c r="I206" s="253" t="n">
        <v>219500</v>
      </c>
      <c r="K206" s="255" t="inlineStr">
        <is>
          <t>L-1302,Pratik Purshottam Vansjalia</t>
        </is>
      </c>
      <c r="L206" s="256" t="n">
        <v>3415842</v>
      </c>
      <c r="O206" s="257" t="inlineStr">
        <is>
          <t>P-1004, Pratik Babulal Faldu</t>
        </is>
      </c>
      <c r="P206" s="1115" t="n">
        <v>39510</v>
      </c>
      <c r="R206" t="inlineStr">
        <is>
          <t>O-404, Dilip Narsinhbhai Ghedia</t>
        </is>
      </c>
      <c r="S206" t="n">
        <v>165811</v>
      </c>
    </row>
    <row r="207">
      <c r="B207" t="inlineStr">
        <is>
          <t>P-1004, Pratik Babulal Faldu</t>
        </is>
      </c>
      <c r="C207" t="n">
        <v>50000</v>
      </c>
      <c r="F207" s="253" t="inlineStr">
        <is>
          <t>J-704,Meghana Soni</t>
        </is>
      </c>
      <c r="G207" s="253" t="n">
        <v>0</v>
      </c>
      <c r="H207" s="253" t="n">
        <v>199300</v>
      </c>
      <c r="I207" s="253" t="n">
        <v>199300</v>
      </c>
      <c r="K207" s="255" t="inlineStr">
        <is>
          <t>L-204,Srujalben Hiteshkumar Vaghela</t>
        </is>
      </c>
      <c r="L207" s="256" t="n">
        <v>49504</v>
      </c>
      <c r="O207" s="257" t="inlineStr">
        <is>
          <t>I-1102, Dhruv Manishbhai Shah &amp; Bhavikaben M.</t>
        </is>
      </c>
      <c r="P207" s="1115" t="n">
        <v>46330</v>
      </c>
      <c r="R207" t="inlineStr">
        <is>
          <t>J/501 Mayank Agrawal</t>
        </is>
      </c>
      <c r="S207" t="n">
        <v>197465</v>
      </c>
    </row>
    <row r="208">
      <c r="B208" t="inlineStr">
        <is>
          <t>P-101, Rahul Ranjan</t>
        </is>
      </c>
      <c r="C208" t="n">
        <v>50000</v>
      </c>
      <c r="F208" s="253" t="inlineStr">
        <is>
          <t>P-302,Vidhyarth Shankar</t>
        </is>
      </c>
      <c r="G208" s="253" t="n">
        <v>0</v>
      </c>
      <c r="H208" s="253" t="n">
        <v>224900</v>
      </c>
      <c r="I208" s="253" t="n">
        <v>224900</v>
      </c>
      <c r="K208" s="255" t="inlineStr">
        <is>
          <t>L-304, Deepa Mayank Parekh</t>
        </is>
      </c>
      <c r="L208" s="256" t="n">
        <v>50868</v>
      </c>
      <c r="O208" s="257" t="inlineStr">
        <is>
          <t>(as per details)</t>
        </is>
      </c>
      <c r="P208" s="1115" t="n">
        <v>39910</v>
      </c>
      <c r="R208" t="inlineStr">
        <is>
          <t>N-1001, Vikash Mtta</t>
        </is>
      </c>
      <c r="S208" t="n">
        <v>168500</v>
      </c>
    </row>
    <row r="209">
      <c r="B209" t="inlineStr">
        <is>
          <t>P-103, Raj Manishbhi Parikh</t>
        </is>
      </c>
      <c r="C209" t="n">
        <v>50000</v>
      </c>
      <c r="F209" s="253" t="inlineStr">
        <is>
          <t>K-601, Harshad Jain</t>
        </is>
      </c>
      <c r="G209" s="253" t="n">
        <v>0</v>
      </c>
      <c r="H209" s="253" t="n">
        <v>225000</v>
      </c>
      <c r="I209" s="253" t="n">
        <v>225000</v>
      </c>
      <c r="K209" s="255" t="inlineStr">
        <is>
          <t>L-401,Sunil Dineshchandra Manjrawala</t>
        </is>
      </c>
      <c r="L209" s="256" t="n">
        <v>183658</v>
      </c>
      <c r="O209" s="259" t="inlineStr">
        <is>
          <t>I-1103,Nikunjbhai Rameshbhai Kagathara</t>
        </is>
      </c>
      <c r="P209" s="1116" t="n"/>
      <c r="R209" t="inlineStr">
        <is>
          <t>H-304, Prakashchandra Tiwari</t>
        </is>
      </c>
      <c r="S209" t="n">
        <v>166100</v>
      </c>
    </row>
    <row r="210">
      <c r="B210" t="inlineStr">
        <is>
          <t>P-1101, Premlata &amp; Chandra Prakash Salgia (AB)</t>
        </is>
      </c>
      <c r="C210" t="n">
        <v>50000</v>
      </c>
      <c r="F210" s="253" t="inlineStr">
        <is>
          <t>M/1304, Rajvi R.Chalishazar &amp; Hardik N. Radia</t>
        </is>
      </c>
      <c r="G210" s="253" t="n">
        <v>0</v>
      </c>
      <c r="H210" s="253" t="n">
        <v>208300</v>
      </c>
      <c r="I210" s="253" t="n">
        <v>208300</v>
      </c>
      <c r="K210" s="255" t="inlineStr">
        <is>
          <t>L-502, Shalabh Kaushik</t>
        </is>
      </c>
      <c r="L210" s="256" t="n">
        <v>44060</v>
      </c>
      <c r="O210" s="259" t="inlineStr">
        <is>
          <t>CGST ON COLLECTION</t>
        </is>
      </c>
      <c r="P210" s="1116" t="n"/>
      <c r="R210" t="inlineStr">
        <is>
          <t>A-801; Ishwar S. Dubey</t>
        </is>
      </c>
      <c r="S210" t="n">
        <v>204000</v>
      </c>
    </row>
    <row r="211">
      <c r="B211" t="inlineStr">
        <is>
          <t>P-1204,Lokesh Manilal Suthar</t>
        </is>
      </c>
      <c r="C211" t="n">
        <v>50000</v>
      </c>
      <c r="F211" s="253" t="inlineStr">
        <is>
          <t>K-1104, Vineet Abbhi</t>
        </is>
      </c>
      <c r="G211" s="253" t="n">
        <v>0</v>
      </c>
      <c r="H211" s="253" t="n">
        <v>259500</v>
      </c>
      <c r="I211" s="253" t="n">
        <v>259500</v>
      </c>
      <c r="K211" s="255" t="inlineStr">
        <is>
          <t>L-504, Raguvirsingh Hardesingh Vaghela</t>
        </is>
      </c>
      <c r="L211" s="256" t="n">
        <v>296040</v>
      </c>
      <c r="O211" s="259" t="inlineStr">
        <is>
          <t>SGST ON COLLECTION</t>
        </is>
      </c>
      <c r="P211" s="1116" t="n"/>
      <c r="R211" t="inlineStr">
        <is>
          <t>N-104, Shital Kalpeshbhai Ajmera</t>
        </is>
      </c>
      <c r="S211" t="n">
        <v>139500</v>
      </c>
    </row>
    <row r="212">
      <c r="B212" t="inlineStr">
        <is>
          <t>P-201,Haum Dutt Gautam</t>
        </is>
      </c>
      <c r="C212" t="n">
        <v>50000</v>
      </c>
      <c r="F212" s="253" t="inlineStr">
        <is>
          <t>I-902, Nilesh Odedara</t>
        </is>
      </c>
      <c r="G212" s="253" t="n">
        <v>0</v>
      </c>
      <c r="H212" s="253" t="n">
        <v>239700</v>
      </c>
      <c r="I212" s="253" t="n">
        <v>239700</v>
      </c>
      <c r="K212" s="255" t="inlineStr">
        <is>
          <t>L-604, Akash Vnod Bhatt / Indiraben Bhatt</t>
        </is>
      </c>
      <c r="L212" s="256" t="n">
        <v>1089108</v>
      </c>
      <c r="O212" s="257" t="inlineStr">
        <is>
          <t>I-1103,Nikunjbhai Rameshbhai Kagathara</t>
        </is>
      </c>
      <c r="P212" s="1115" t="n">
        <v>42000</v>
      </c>
      <c r="R212" t="inlineStr">
        <is>
          <t>F-501,Maulikbhai Gondaliya</t>
        </is>
      </c>
      <c r="S212" t="n">
        <v>135400</v>
      </c>
    </row>
    <row r="213">
      <c r="B213" t="inlineStr">
        <is>
          <t>P-204, Nikita Anil Bendre</t>
        </is>
      </c>
      <c r="C213" t="n">
        <v>50000</v>
      </c>
      <c r="F213" s="253" t="inlineStr">
        <is>
          <t>O-404, Dilip Narsinhbhai Ghedia</t>
        </is>
      </c>
      <c r="G213" s="253" t="n">
        <v>0</v>
      </c>
      <c r="H213" s="253" t="n">
        <v>201581</v>
      </c>
      <c r="I213" s="253" t="n">
        <v>201581</v>
      </c>
      <c r="K213" s="255" t="inlineStr">
        <is>
          <t>L-704,Yogendra Kumar Tailor</t>
        </is>
      </c>
      <c r="L213" s="256" t="n">
        <v>395050</v>
      </c>
      <c r="O213" s="257" t="inlineStr">
        <is>
          <t>O-801;Amit Kumar</t>
        </is>
      </c>
      <c r="P213" s="1115" t="n">
        <v>34600</v>
      </c>
      <c r="R213" t="inlineStr">
        <is>
          <t>B-802, Alpesh Rambhai Khatri</t>
        </is>
      </c>
      <c r="S213" t="n">
        <v>198000</v>
      </c>
    </row>
    <row r="214">
      <c r="B214" t="inlineStr">
        <is>
          <t>P-302,Vidhyarth Shankar</t>
        </is>
      </c>
      <c r="C214" t="n">
        <v>50000</v>
      </c>
      <c r="F214" s="253" t="inlineStr">
        <is>
          <t>J/501 Mayank Agrawal</t>
        </is>
      </c>
      <c r="G214" s="253" t="n">
        <v>0</v>
      </c>
      <c r="H214" s="253" t="n">
        <v>239682</v>
      </c>
      <c r="I214" s="253" t="n">
        <v>239682</v>
      </c>
      <c r="K214" s="255" t="inlineStr">
        <is>
          <t>L-801, Kajal M. Mishra</t>
        </is>
      </c>
      <c r="L214" s="256" t="n">
        <v>40176</v>
      </c>
      <c r="O214" s="257" t="inlineStr">
        <is>
          <t>N-503, Yash Satwani / Kiran Satwani</t>
        </is>
      </c>
      <c r="P214" s="1115" t="n">
        <v>30000</v>
      </c>
      <c r="R214" t="inlineStr">
        <is>
          <t>M-104, Nishith N. Shah &amp; Rimaben Shah</t>
        </is>
      </c>
      <c r="S214" t="n">
        <v>193500</v>
      </c>
    </row>
    <row r="215">
      <c r="B215" t="inlineStr">
        <is>
          <t>P-304; Rupal Vishal Barad</t>
        </is>
      </c>
      <c r="C215" t="n">
        <v>50000</v>
      </c>
      <c r="F215" s="253" t="inlineStr">
        <is>
          <t>N-1001, Vikash Mtta</t>
        </is>
      </c>
      <c r="G215" s="253" t="n">
        <v>0</v>
      </c>
      <c r="H215" s="253" t="n">
        <v>204500</v>
      </c>
      <c r="I215" s="253" t="n">
        <v>204500</v>
      </c>
      <c r="K215" s="255" t="inlineStr">
        <is>
          <t>L-803, Haresh Zanzrukia</t>
        </is>
      </c>
      <c r="L215" s="256" t="n">
        <v>0</v>
      </c>
      <c r="O215" s="257" t="inlineStr">
        <is>
          <t>A-1304, Palak Harshadkumar Popat</t>
        </is>
      </c>
      <c r="P215" s="1115" t="n">
        <v>40800</v>
      </c>
      <c r="R215" t="inlineStr">
        <is>
          <t>I-603,Mamtaben Champaklal Soni</t>
        </is>
      </c>
      <c r="S215" t="n">
        <v>174000</v>
      </c>
    </row>
    <row r="216">
      <c r="B216" t="inlineStr">
        <is>
          <t>P-402,Chandan Kumar Sharma</t>
        </is>
      </c>
      <c r="C216" t="n">
        <v>50000</v>
      </c>
      <c r="F216" s="253" t="inlineStr">
        <is>
          <t>H-304, Prakashchandra Tiwari</t>
        </is>
      </c>
      <c r="G216" s="253" t="n">
        <v>0</v>
      </c>
      <c r="H216" s="253" t="n">
        <v>202100</v>
      </c>
      <c r="I216" s="253" t="n">
        <v>202100</v>
      </c>
      <c r="K216" s="255" t="inlineStr">
        <is>
          <t>L-804, Anand Sharma</t>
        </is>
      </c>
      <c r="L216" s="256" t="n">
        <v>2690100</v>
      </c>
      <c r="O216" s="257" t="inlineStr">
        <is>
          <t>K-1002, Deepakkumar Shantilal Kamani</t>
        </is>
      </c>
      <c r="P216" s="1115" t="n">
        <v>34000</v>
      </c>
      <c r="R216" t="inlineStr">
        <is>
          <t>K/303 Jaykumar Raval</t>
        </is>
      </c>
      <c r="S216" t="n">
        <v>195600</v>
      </c>
    </row>
    <row r="217">
      <c r="B217" t="inlineStr">
        <is>
          <t>P-503, Shekhar Mudaliar</t>
        </is>
      </c>
      <c r="C217" t="n">
        <v>50000</v>
      </c>
      <c r="F217" s="253" t="inlineStr">
        <is>
          <t>A-801; Ishwar S. Dubey</t>
        </is>
      </c>
      <c r="G217" s="253" t="n">
        <v>0</v>
      </c>
      <c r="H217" s="253" t="n">
        <v>247500</v>
      </c>
      <c r="I217" s="253" t="n">
        <v>247500</v>
      </c>
      <c r="K217" s="255" t="inlineStr">
        <is>
          <t>L-904,Nikhil Upendra Thakkar</t>
        </is>
      </c>
      <c r="L217" s="256" t="n">
        <v>43837</v>
      </c>
      <c r="O217" s="257" t="inlineStr">
        <is>
          <t>J-902,Om Vikramkumar Popat</t>
        </is>
      </c>
      <c r="P217" s="1115" t="n">
        <v>30500</v>
      </c>
      <c r="R217" t="inlineStr">
        <is>
          <t>M-1104,Prabhat Soni</t>
        </is>
      </c>
      <c r="S217" t="n">
        <v>215600</v>
      </c>
    </row>
    <row r="218">
      <c r="B218" t="inlineStr">
        <is>
          <t>P-603, Rakesh Rathod</t>
        </is>
      </c>
      <c r="C218" t="n">
        <v>50000</v>
      </c>
      <c r="F218" s="253" t="inlineStr">
        <is>
          <t>F-501,Maulikbhai Gondaliya</t>
        </is>
      </c>
      <c r="G218" s="253" t="n">
        <v>0</v>
      </c>
      <c r="H218" s="253" t="n">
        <v>165100</v>
      </c>
      <c r="I218" s="253" t="n">
        <v>165100</v>
      </c>
      <c r="K218" s="255" t="inlineStr">
        <is>
          <t>M/1004, Divya Tailor  &amp; Anurag Chhaparal</t>
        </is>
      </c>
      <c r="L218" s="256" t="n">
        <v>34607</v>
      </c>
      <c r="O218" s="257" t="inlineStr">
        <is>
          <t>J-902,Om Vikramkumar Popat</t>
        </is>
      </c>
      <c r="P218" s="1115" t="n">
        <v>50000</v>
      </c>
      <c r="R218" t="inlineStr">
        <is>
          <t>I-404,Neha Rajesh Bharti</t>
        </is>
      </c>
      <c r="S218" t="n">
        <v>215600</v>
      </c>
    </row>
    <row r="219">
      <c r="B219" t="inlineStr">
        <is>
          <t>P-704; Vishal Rajabhai Barad</t>
        </is>
      </c>
      <c r="C219" t="n">
        <v>50000</v>
      </c>
      <c r="F219" s="253" t="inlineStr">
        <is>
          <t>B-802, Alpesh Rambhai Khatri</t>
        </is>
      </c>
      <c r="G219" s="253" t="n">
        <v>0</v>
      </c>
      <c r="H219" s="253" t="n">
        <v>240000</v>
      </c>
      <c r="I219" s="253" t="n">
        <v>240000</v>
      </c>
      <c r="K219" s="255" t="inlineStr">
        <is>
          <t>M-104, Nishith N. Shah &amp; Rimaben Shah</t>
        </is>
      </c>
      <c r="L219" s="256" t="n">
        <v>39096</v>
      </c>
      <c r="O219" s="257" t="inlineStr">
        <is>
          <t>J-704,Meghana Soni</t>
        </is>
      </c>
      <c r="P219" s="1115" t="n">
        <v>2200</v>
      </c>
      <c r="R219" t="inlineStr">
        <is>
          <t>D-904, Parth Dipakbhai Solanki</t>
        </is>
      </c>
      <c r="S219" t="n">
        <v>157000</v>
      </c>
    </row>
    <row r="220">
      <c r="B220" t="inlineStr">
        <is>
          <t>P-904, Niruben Soni, Mohit Soni</t>
        </is>
      </c>
      <c r="C220" t="n">
        <v>50000</v>
      </c>
      <c r="F220" s="253" t="inlineStr">
        <is>
          <t>M-104, Nishith N. Shah &amp; Rimaben Shah</t>
        </is>
      </c>
      <c r="G220" s="253" t="n">
        <v>0</v>
      </c>
      <c r="H220" s="253" t="n">
        <v>235200</v>
      </c>
      <c r="I220" s="253" t="n">
        <v>235200</v>
      </c>
      <c r="K220" s="255" t="inlineStr">
        <is>
          <t>M-1104,Prabhat Soni</t>
        </is>
      </c>
      <c r="L220" s="256" t="n">
        <v>43564</v>
      </c>
      <c r="O220" s="257" t="inlineStr">
        <is>
          <t>P-302,Vidhyarth Shankar</t>
        </is>
      </c>
      <c r="P220" s="1115" t="n">
        <v>39800</v>
      </c>
      <c r="R220" t="inlineStr">
        <is>
          <t>K/302, Soumendrakumar Behera</t>
        </is>
      </c>
      <c r="S220" t="n">
        <v>219000</v>
      </c>
    </row>
    <row r="221">
      <c r="B221" t="inlineStr">
        <is>
          <t>SH.04, Gauriben B. Makwana,Bhavin B. Dalwadi</t>
        </is>
      </c>
      <c r="C221" t="n">
        <v>50000</v>
      </c>
      <c r="F221" s="253" t="inlineStr">
        <is>
          <t>I-603,Mamtaben Champaklal Soni</t>
        </is>
      </c>
      <c r="G221" s="253" t="n">
        <v>0</v>
      </c>
      <c r="H221" s="253" t="n">
        <v>176000</v>
      </c>
      <c r="I221" s="253" t="n">
        <v>176000</v>
      </c>
      <c r="K221" s="255" t="inlineStr">
        <is>
          <t>M/1304, Rajvi R.Chalishazar &amp; Hardik N. Radia</t>
        </is>
      </c>
      <c r="L221" s="256" t="n">
        <v>34607</v>
      </c>
      <c r="O221" s="257" t="inlineStr">
        <is>
          <t>K-601, Harshad Jain</t>
        </is>
      </c>
      <c r="P221" s="1115" t="n">
        <v>39800</v>
      </c>
      <c r="R221" t="inlineStr">
        <is>
          <t>D/102 Disha Bhagya Dave</t>
        </is>
      </c>
      <c r="S221" t="n">
        <v>191400</v>
      </c>
    </row>
    <row r="222">
      <c r="B222" t="inlineStr">
        <is>
          <t>SH-20,Pukhraj Sankalram Kumhar/Ambika Kitchen Ware</t>
        </is>
      </c>
      <c r="C222" t="n">
        <v>50000</v>
      </c>
      <c r="F222" s="253" t="inlineStr">
        <is>
          <t>D-904, Parth Dipakbhai Solanki</t>
        </is>
      </c>
      <c r="G222" s="253" t="n">
        <v>0</v>
      </c>
      <c r="H222" s="253" t="n">
        <v>191000</v>
      </c>
      <c r="I222" s="253" t="n">
        <v>191000</v>
      </c>
      <c r="K222" s="255" t="inlineStr">
        <is>
          <t>M-203,Lokesh Bansilal Kalal</t>
        </is>
      </c>
      <c r="L222" s="256" t="n">
        <v>552235</v>
      </c>
      <c r="O222" s="257" t="inlineStr">
        <is>
          <t>M/1304, Rajvi R.Chalishazar &amp; Hardik N. Radia</t>
        </is>
      </c>
      <c r="P222" s="1115" t="n">
        <v>37000</v>
      </c>
      <c r="R222" t="inlineStr">
        <is>
          <t>H/1004, Suchi Khare, Saket Khare</t>
        </is>
      </c>
      <c r="S222" t="n">
        <v>136400</v>
      </c>
    </row>
    <row r="223">
      <c r="B223" t="inlineStr">
        <is>
          <t>SH-305,Jitesh Maganlal Shah</t>
        </is>
      </c>
      <c r="C223" t="n">
        <v>50000</v>
      </c>
      <c r="F223" s="253" t="inlineStr">
        <is>
          <t>K/303 Jaykumar Raval</t>
        </is>
      </c>
      <c r="G223" s="253" t="n">
        <v>0</v>
      </c>
      <c r="H223" s="253" t="n">
        <v>237500</v>
      </c>
      <c r="I223" s="253" t="n">
        <v>237500</v>
      </c>
      <c r="K223" s="255" t="inlineStr">
        <is>
          <t>M-204, Vishak Raval</t>
        </is>
      </c>
      <c r="L223" s="256" t="n">
        <v>3267328</v>
      </c>
      <c r="O223" s="257" t="inlineStr">
        <is>
          <t>I-1203,Gopal Jiva/ Harjivan G / Dilip G.Jiva</t>
        </is>
      </c>
      <c r="P223" s="1115" t="n">
        <v>42000</v>
      </c>
      <c r="R223" t="inlineStr">
        <is>
          <t>P-1101, Premlata &amp; Chandra Prakash Salgia (AB)</t>
        </is>
      </c>
      <c r="S223" t="n">
        <v>133200</v>
      </c>
    </row>
    <row r="224">
      <c r="B224" t="inlineStr">
        <is>
          <t>SHOP 211 Vishnu Rao After Bu</t>
        </is>
      </c>
      <c r="C224" t="n">
        <v>50000</v>
      </c>
      <c r="F224" s="253" t="inlineStr">
        <is>
          <t>M-1104,Prabhat Soni</t>
        </is>
      </c>
      <c r="G224" s="253" t="n">
        <v>0</v>
      </c>
      <c r="H224" s="253" t="n">
        <v>261600</v>
      </c>
      <c r="I224" s="253" t="n">
        <v>261600</v>
      </c>
      <c r="K224" s="255" t="inlineStr">
        <is>
          <t>M-302 Ashishkumar Ramnareshsingh Parihar</t>
        </is>
      </c>
      <c r="L224" s="256" t="n">
        <v>33800</v>
      </c>
      <c r="O224" s="257" t="inlineStr">
        <is>
          <t>K-1104, Vineet Abbhi</t>
        </is>
      </c>
      <c r="P224" s="1115" t="n">
        <v>45500</v>
      </c>
      <c r="R224" t="inlineStr">
        <is>
          <t>J-1004, Dipesh Bharartbhai Pandya</t>
        </is>
      </c>
      <c r="S224" t="n">
        <v>217300</v>
      </c>
    </row>
    <row r="225">
      <c r="C225">
        <f>SUM(C2:C224)</f>
        <v/>
      </c>
      <c r="F225" s="253" t="inlineStr">
        <is>
          <t>I-404,Neha Rajesh Bharti</t>
        </is>
      </c>
      <c r="G225" s="253" t="n">
        <v>0</v>
      </c>
      <c r="H225" s="253" t="n">
        <v>217800</v>
      </c>
      <c r="I225" s="253" t="n">
        <v>217800</v>
      </c>
      <c r="K225" s="255" t="inlineStr">
        <is>
          <t>M-303,Shital Satyen Sheth</t>
        </is>
      </c>
      <c r="L225" s="256" t="n">
        <v>497244.9999999999</v>
      </c>
      <c r="O225" s="257" t="inlineStr">
        <is>
          <t>I-902, Nilesh Odedara</t>
        </is>
      </c>
      <c r="P225" s="1115" t="n">
        <v>42000</v>
      </c>
      <c r="R225" t="inlineStr">
        <is>
          <t>Shop 310 Kokila Desai After Bu</t>
        </is>
      </c>
      <c r="S225" t="n">
        <v>109100</v>
      </c>
    </row>
    <row r="226">
      <c r="F226" s="253" t="inlineStr">
        <is>
          <t>D/102 Disha Bhagya Dave</t>
        </is>
      </c>
      <c r="G226" s="253" t="n">
        <v>0</v>
      </c>
      <c r="H226" s="253" t="n">
        <v>232400</v>
      </c>
      <c r="I226" s="253" t="n">
        <v>232400</v>
      </c>
      <c r="K226" s="255" t="inlineStr">
        <is>
          <t>M-304, Nikhil Bhimji Padhiyar</t>
        </is>
      </c>
      <c r="L226" s="256" t="n">
        <v>0</v>
      </c>
      <c r="O226" s="257" t="inlineStr">
        <is>
          <t>O-404, Dilip Narsinhbhai Ghedia</t>
        </is>
      </c>
      <c r="P226" s="1115" t="n">
        <v>35770</v>
      </c>
      <c r="R226" t="inlineStr">
        <is>
          <t>G-503,Sukhdevsingh</t>
        </is>
      </c>
      <c r="S226" t="n">
        <v>170300</v>
      </c>
    </row>
    <row r="227">
      <c r="F227" s="253" t="inlineStr">
        <is>
          <t>H/1004, Suchi Khare, Saket Khare</t>
        </is>
      </c>
      <c r="G227" s="253" t="n">
        <v>0</v>
      </c>
      <c r="H227" s="253" t="n">
        <v>138600</v>
      </c>
      <c r="I227" s="253" t="n">
        <v>138600</v>
      </c>
      <c r="K227" s="255" t="inlineStr">
        <is>
          <t>M-402,Bhumika Akashdeep Kadiya</t>
        </is>
      </c>
      <c r="L227" s="256" t="n">
        <v>-218650</v>
      </c>
      <c r="O227" s="257" t="inlineStr">
        <is>
          <t>J/501 Mayank Agrawal</t>
        </is>
      </c>
      <c r="P227" s="1115" t="n">
        <v>42217</v>
      </c>
      <c r="R227" t="inlineStr">
        <is>
          <t>I-302,Asish Mansukhlal Ajmera</t>
        </is>
      </c>
      <c r="S227" t="n">
        <v>171700</v>
      </c>
    </row>
    <row r="228">
      <c r="F228" s="253" t="inlineStr">
        <is>
          <t>P-1101, Premlata &amp; Chandra Prakash Salgia (AB)</t>
        </is>
      </c>
      <c r="G228" s="253" t="n">
        <v>0</v>
      </c>
      <c r="H228" s="253" t="n">
        <v>162390</v>
      </c>
      <c r="I228" s="253" t="n">
        <v>162390</v>
      </c>
      <c r="K228" s="255" t="inlineStr">
        <is>
          <t>M-403,Bhumika Akashdeep Kadiya</t>
        </is>
      </c>
      <c r="L228" s="256" t="n">
        <v>-168650</v>
      </c>
      <c r="O228" s="257" t="inlineStr">
        <is>
          <t>N-1001, Vikash Mtta</t>
        </is>
      </c>
      <c r="P228" s="1115" t="n">
        <v>36000</v>
      </c>
    </row>
    <row r="229">
      <c r="F229" s="253" t="inlineStr">
        <is>
          <t>K-801, Viral Bhayani</t>
        </is>
      </c>
      <c r="G229" s="253" t="n">
        <v>0</v>
      </c>
      <c r="H229" s="253" t="n">
        <v>179000</v>
      </c>
      <c r="I229" s="253" t="n">
        <v>179000</v>
      </c>
      <c r="K229" s="255" t="inlineStr">
        <is>
          <t>M-404, Mahavir Bhagwanjibhai Jadav</t>
        </is>
      </c>
      <c r="L229" s="256" t="n">
        <v>45476</v>
      </c>
      <c r="O229" s="257" t="inlineStr">
        <is>
          <t>H-304, Prakashchandra Tiwari</t>
        </is>
      </c>
      <c r="P229" s="1115" t="n">
        <v>36000</v>
      </c>
    </row>
    <row r="230">
      <c r="F230" s="253" t="inlineStr">
        <is>
          <t>N-101,Abhishek Rajguru</t>
        </is>
      </c>
      <c r="G230" s="253" t="n">
        <v>0</v>
      </c>
      <c r="H230" s="253" t="n">
        <v>214100</v>
      </c>
      <c r="I230" s="253" t="n">
        <v>214100</v>
      </c>
      <c r="K230" s="255" t="inlineStr">
        <is>
          <t>M/502 Javankiaben Koradiya, Naresh Koradiya</t>
        </is>
      </c>
      <c r="L230" s="256" t="n">
        <v>549803</v>
      </c>
      <c r="O230" s="257" t="inlineStr">
        <is>
          <t>A-801; Ishwar S. Dubey</t>
        </is>
      </c>
      <c r="P230" s="1115" t="n">
        <v>43500</v>
      </c>
    </row>
    <row r="231">
      <c r="F231" s="253" t="inlineStr">
        <is>
          <t>J-1004, Dipesh Bharartbhai Pandya</t>
        </is>
      </c>
      <c r="G231" s="253" t="n">
        <v>0</v>
      </c>
      <c r="H231" s="253" t="n">
        <v>263700</v>
      </c>
      <c r="I231" s="253" t="n">
        <v>263700</v>
      </c>
      <c r="K231" s="255" t="inlineStr">
        <is>
          <t>M-801 Tarak B. Shah, Anjana Chauhan</t>
        </is>
      </c>
      <c r="L231" s="256" t="n">
        <v>32227</v>
      </c>
      <c r="O231" s="257" t="inlineStr">
        <is>
          <t>F-501,Maulikbhai Gondaliya</t>
        </is>
      </c>
      <c r="P231" s="1115" t="n">
        <v>29700</v>
      </c>
    </row>
    <row r="232">
      <c r="F232" s="253" t="inlineStr">
        <is>
          <t>I-701, Narendra Hanumant  Jog</t>
        </is>
      </c>
      <c r="G232" s="253" t="n">
        <v>0</v>
      </c>
      <c r="H232" s="253" t="n">
        <v>239100</v>
      </c>
      <c r="I232" s="253" t="n">
        <v>239100</v>
      </c>
      <c r="K232" s="255" t="inlineStr">
        <is>
          <t>M-803, Shital Satyen Sheth</t>
        </is>
      </c>
      <c r="L232" s="256" t="n">
        <v>497244.9999999999</v>
      </c>
      <c r="O232" s="257" t="inlineStr">
        <is>
          <t>B-802, Alpesh Rambhai Khatri</t>
        </is>
      </c>
      <c r="P232" s="1115" t="n">
        <v>42000</v>
      </c>
    </row>
    <row r="233">
      <c r="F233" s="253" t="inlineStr">
        <is>
          <t>I-702, Tushar Singh</t>
        </is>
      </c>
      <c r="G233" s="253" t="n">
        <v>0</v>
      </c>
      <c r="H233" s="253" t="n">
        <v>260700</v>
      </c>
      <c r="I233" s="253" t="n">
        <v>260700</v>
      </c>
      <c r="K233" s="255" t="inlineStr">
        <is>
          <t>M-901, Alap Lavjibhai Ramani</t>
        </is>
      </c>
      <c r="L233" s="256" t="n">
        <v>167553</v>
      </c>
      <c r="O233" s="257" t="inlineStr">
        <is>
          <t>M-104, Nishith N. Shah &amp; Rimaben Shah</t>
        </is>
      </c>
      <c r="P233" s="1115" t="n">
        <v>41700</v>
      </c>
    </row>
    <row r="234">
      <c r="F234" s="253" t="inlineStr">
        <is>
          <t>I-1202, Pratik Ratilal Joshi</t>
        </is>
      </c>
      <c r="G234" s="253" t="n">
        <v>0</v>
      </c>
      <c r="H234" s="253" t="n">
        <v>263700</v>
      </c>
      <c r="I234" s="253" t="n">
        <v>263700</v>
      </c>
      <c r="K234" s="255" t="inlineStr">
        <is>
          <t>M-904,Praveen Bhargava</t>
        </is>
      </c>
      <c r="L234" s="256" t="n">
        <v>42574</v>
      </c>
      <c r="O234" s="257" t="inlineStr">
        <is>
          <t>I-603,Mamtaben Champaklal Soni</t>
        </is>
      </c>
      <c r="P234" s="1115" t="n">
        <v>2000</v>
      </c>
    </row>
    <row r="235">
      <c r="F235" s="253" t="inlineStr">
        <is>
          <t>G-101, Darji Amit Gunvantbhai</t>
        </is>
      </c>
      <c r="G235" s="253" t="n">
        <v>0</v>
      </c>
      <c r="H235" s="253" t="n">
        <v>138400</v>
      </c>
      <c r="I235" s="253" t="n">
        <v>138400</v>
      </c>
      <c r="K235" s="255" t="inlineStr">
        <is>
          <t>N-1001, Vikash Mtta</t>
        </is>
      </c>
      <c r="L235" s="256" t="n">
        <v>549803</v>
      </c>
      <c r="O235" s="257" t="inlineStr">
        <is>
          <t>K/303 Jaykumar Raval</t>
        </is>
      </c>
      <c r="P235" s="1115" t="n">
        <v>41900</v>
      </c>
    </row>
    <row r="236">
      <c r="F236" s="253" t="inlineStr">
        <is>
          <t>G-502, Prakash Chandra Mishra / Sauravini Mishra</t>
        </is>
      </c>
      <c r="G236" s="253" t="n">
        <v>0</v>
      </c>
      <c r="H236" s="253" t="n">
        <v>165100</v>
      </c>
      <c r="I236" s="253" t="n">
        <v>165100</v>
      </c>
      <c r="K236" s="255" t="inlineStr">
        <is>
          <t>N-1003, Neil Michael</t>
        </is>
      </c>
      <c r="L236" s="256" t="n">
        <v>43526</v>
      </c>
      <c r="O236" s="257" t="inlineStr">
        <is>
          <t>M-1104,Prabhat Soni</t>
        </is>
      </c>
      <c r="P236" s="1115" t="n">
        <v>46000</v>
      </c>
    </row>
    <row r="237">
      <c r="F237" s="253" t="inlineStr">
        <is>
          <t>I-302,Asish Mansukhlal Ajmera</t>
        </is>
      </c>
      <c r="G237" s="253" t="n">
        <v>0</v>
      </c>
      <c r="H237" s="253" t="n">
        <v>171700</v>
      </c>
      <c r="I237" s="253" t="n">
        <v>171700</v>
      </c>
      <c r="K237" s="255" t="inlineStr">
        <is>
          <t>N-104, Shital Kalpeshbhai Ajmera</t>
        </is>
      </c>
      <c r="L237" s="256" t="n">
        <v>-111354</v>
      </c>
      <c r="O237" s="257" t="inlineStr">
        <is>
          <t>I-404,Neha Rajesh Bharti</t>
        </is>
      </c>
      <c r="P237" s="1115" t="n">
        <v>2200</v>
      </c>
    </row>
    <row r="238">
      <c r="F238" s="253" t="inlineStr">
        <is>
          <t>F-604, Gurumeet Singh</t>
        </is>
      </c>
      <c r="G238" s="253" t="n">
        <v>0</v>
      </c>
      <c r="H238" s="253" t="n">
        <v>190500</v>
      </c>
      <c r="I238" s="253" t="n">
        <v>190500</v>
      </c>
      <c r="K238" s="255" t="inlineStr">
        <is>
          <t>N-1103,Sumanta Bose</t>
        </is>
      </c>
      <c r="L238" s="256" t="n">
        <v>42797</v>
      </c>
      <c r="O238" s="257" t="inlineStr">
        <is>
          <t>D-904, Parth Dipakbhai Solanki</t>
        </is>
      </c>
      <c r="P238" s="1115" t="n">
        <v>34000</v>
      </c>
    </row>
    <row r="239">
      <c r="F239" s="253" t="inlineStr">
        <is>
          <t>F-1002, Jigar J.Patel</t>
        </is>
      </c>
      <c r="G239" s="253" t="n">
        <v>0</v>
      </c>
      <c r="H239" s="253" t="n">
        <v>215400</v>
      </c>
      <c r="I239" s="253" t="n">
        <v>215400</v>
      </c>
      <c r="K239" s="255" t="inlineStr">
        <is>
          <t>N-1104, Smita Chandrakantbhai Patni</t>
        </is>
      </c>
      <c r="L239" s="256" t="n">
        <v>241980</v>
      </c>
      <c r="O239" s="257" t="inlineStr">
        <is>
          <t>A-902, Puja Chudasama</t>
        </is>
      </c>
      <c r="P239" s="1115" t="n">
        <v>40000</v>
      </c>
    </row>
    <row r="240">
      <c r="F240" s="253" t="inlineStr">
        <is>
          <t>Shop 310 Kokila Desai After Bu</t>
        </is>
      </c>
      <c r="G240" s="253" t="n">
        <v>0</v>
      </c>
      <c r="H240" s="253" t="n">
        <v>111100</v>
      </c>
      <c r="I240" s="253" t="n">
        <v>111100</v>
      </c>
      <c r="K240" s="255" t="inlineStr">
        <is>
          <t>N-1301, Hunney Gor</t>
        </is>
      </c>
      <c r="L240" s="256" t="n">
        <v>0</v>
      </c>
      <c r="O240" s="257" t="inlineStr">
        <is>
          <t>D/102 Disha Bhagya Dave</t>
        </is>
      </c>
      <c r="P240" s="1115" t="n">
        <v>41000</v>
      </c>
    </row>
    <row r="241">
      <c r="F241" s="253" t="inlineStr">
        <is>
          <t>G-503,Sukhdevsingh</t>
        </is>
      </c>
      <c r="G241" s="253" t="n">
        <v>0</v>
      </c>
      <c r="H241" s="253" t="n">
        <v>207100</v>
      </c>
      <c r="I241" s="253" t="n">
        <v>207100</v>
      </c>
      <c r="K241" s="255" t="inlineStr">
        <is>
          <t>N-1304,Ajitsingh Guller</t>
        </is>
      </c>
      <c r="L241" s="256" t="n">
        <v>445546</v>
      </c>
      <c r="O241" s="257" t="inlineStr">
        <is>
          <t>H/1004, Suchi Khare, Saket Khare</t>
        </is>
      </c>
      <c r="P241" s="1115" t="n">
        <v>2200</v>
      </c>
    </row>
    <row r="242">
      <c r="F242" s="253" t="inlineStr">
        <is>
          <t>P-103, Raj Manishbhi Parikh</t>
        </is>
      </c>
      <c r="G242" s="253" t="n">
        <v>0</v>
      </c>
      <c r="H242" s="253" t="n">
        <v>208500</v>
      </c>
      <c r="I242" s="253" t="n">
        <v>208500</v>
      </c>
      <c r="K242" s="255" t="inlineStr">
        <is>
          <t>N-202, Jaydevsinh Rana, Yuvraj Rana</t>
        </is>
      </c>
      <c r="L242" s="256" t="n">
        <v>36752</v>
      </c>
      <c r="O242" s="257" t="inlineStr">
        <is>
          <t>P-1101, Premlata &amp; Chandra Prakash Salgia (AB)</t>
        </is>
      </c>
      <c r="P242" s="1115" t="n">
        <v>29190</v>
      </c>
    </row>
    <row r="243">
      <c r="F243" s="253" t="inlineStr">
        <is>
          <t>M-1102, Chhayaben Sheth</t>
        </is>
      </c>
      <c r="G243" s="253" t="n">
        <v>0</v>
      </c>
      <c r="H243" s="253" t="n">
        <v>215850</v>
      </c>
      <c r="I243" s="253" t="n">
        <v>215850</v>
      </c>
      <c r="K243" s="255" t="inlineStr">
        <is>
          <t>N-302, Chetnaben Rathod</t>
        </is>
      </c>
      <c r="L243" s="256" t="n">
        <v>390820</v>
      </c>
      <c r="O243" s="257" t="inlineStr">
        <is>
          <t>Shop 310 Kokila Desai After Bu</t>
        </is>
      </c>
      <c r="P243" s="1115" t="n">
        <v>2000</v>
      </c>
    </row>
    <row r="244">
      <c r="F244" s="253" t="inlineStr">
        <is>
          <t>F/603 Parth Jitendra Somaiya</t>
        </is>
      </c>
      <c r="G244" s="253" t="n">
        <v>0</v>
      </c>
      <c r="H244" s="253" t="n">
        <v>190500</v>
      </c>
      <c r="I244" s="253" t="n">
        <v>190500</v>
      </c>
      <c r="K244" s="255" t="inlineStr">
        <is>
          <t>N-304; Amarjit Kumar</t>
        </is>
      </c>
      <c r="L244" s="256" t="n">
        <v>89789</v>
      </c>
      <c r="O244" s="257" t="inlineStr">
        <is>
          <t>G-503,Sukhdevsingh</t>
        </is>
      </c>
      <c r="P244" s="1115" t="n">
        <v>36800</v>
      </c>
    </row>
    <row r="245">
      <c r="K245" s="255" t="inlineStr">
        <is>
          <t>N-502, Sanjaykumar Mistry</t>
        </is>
      </c>
      <c r="L245" s="256" t="n">
        <v>98658</v>
      </c>
    </row>
    <row r="246">
      <c r="K246" s="255" t="inlineStr">
        <is>
          <t>N-503, Yash Satwani / Kiran Satwani</t>
        </is>
      </c>
      <c r="L246" s="256" t="n">
        <v>561346</v>
      </c>
    </row>
    <row r="247">
      <c r="K247" s="255" t="inlineStr">
        <is>
          <t>N-903, Krunal Pravinkumar Chudasma</t>
        </is>
      </c>
      <c r="L247" s="256" t="n">
        <v>116021</v>
      </c>
    </row>
    <row r="248">
      <c r="K248" s="255" t="inlineStr">
        <is>
          <t>O/1004, Soliya Naval Bhikhubhai</t>
        </is>
      </c>
      <c r="L248" s="256" t="n">
        <v>549985</v>
      </c>
    </row>
    <row r="249">
      <c r="K249" s="255" t="inlineStr">
        <is>
          <t>O-102. Varshaben Jagdishkumar Parmar</t>
        </is>
      </c>
      <c r="L249" s="256" t="n">
        <v>638</v>
      </c>
    </row>
    <row r="250">
      <c r="K250" s="255" t="inlineStr">
        <is>
          <t>O-103, Rakesh Jangid</t>
        </is>
      </c>
      <c r="L250" s="256" t="n">
        <v>41221</v>
      </c>
    </row>
    <row r="251">
      <c r="K251" s="255" t="inlineStr">
        <is>
          <t>O-1102, Priyankkumar Patel</t>
        </is>
      </c>
      <c r="L251" s="256" t="n">
        <v>247524</v>
      </c>
    </row>
    <row r="252">
      <c r="K252" s="255" t="inlineStr">
        <is>
          <t>O-1201,Akash M. Parekh</t>
        </is>
      </c>
      <c r="L252" s="256" t="n">
        <v>123168</v>
      </c>
    </row>
    <row r="253">
      <c r="K253" s="255" t="inlineStr">
        <is>
          <t>O-1202, Jay Chandrakant Shah</t>
        </is>
      </c>
      <c r="L253" s="256" t="n">
        <v>79422</v>
      </c>
    </row>
    <row r="254">
      <c r="K254" s="255" t="inlineStr">
        <is>
          <t>O-1204,Kamini Vijay Khalas</t>
        </is>
      </c>
      <c r="L254" s="256" t="n">
        <v>336040</v>
      </c>
    </row>
    <row r="255">
      <c r="K255" s="255" t="inlineStr">
        <is>
          <t>O-1304, Rajkumar, Parul Barwadia</t>
        </is>
      </c>
      <c r="L255" s="256" t="n">
        <v>95050</v>
      </c>
    </row>
    <row r="256">
      <c r="K256" s="255" t="inlineStr">
        <is>
          <t>O-203, Manish Kumar Gupta</t>
        </is>
      </c>
      <c r="L256" s="256" t="n">
        <v>34654</v>
      </c>
    </row>
    <row r="257">
      <c r="K257" s="255" t="inlineStr">
        <is>
          <t>O-402, Hardik Dilip Doshi</t>
        </is>
      </c>
      <c r="L257" s="256" t="n">
        <v>552417</v>
      </c>
    </row>
    <row r="258">
      <c r="K258" s="255" t="inlineStr">
        <is>
          <t>O-403,Jayesh Mansukhbhai Solanki</t>
        </is>
      </c>
      <c r="L258" s="256" t="n">
        <v>34654</v>
      </c>
    </row>
    <row r="259">
      <c r="K259" s="255" t="inlineStr">
        <is>
          <t>O-404, Dilip Narsinhbhai Ghedia</t>
        </is>
      </c>
      <c r="L259" s="256" t="n">
        <v>549214</v>
      </c>
    </row>
    <row r="260">
      <c r="K260" s="255" t="inlineStr">
        <is>
          <t>O-502, Jay Rajeshkumar Shah</t>
        </is>
      </c>
      <c r="L260" s="256" t="n">
        <v>435644</v>
      </c>
    </row>
    <row r="261">
      <c r="K261" s="255" t="inlineStr">
        <is>
          <t>O-701, Harshil Vipiulbhai Chandarana</t>
        </is>
      </c>
      <c r="L261" s="256" t="n">
        <v>548909</v>
      </c>
    </row>
    <row r="262">
      <c r="K262" s="255" t="inlineStr">
        <is>
          <t>O-703, Rahul M. Andharia</t>
        </is>
      </c>
      <c r="L262" s="256" t="n">
        <v>38906</v>
      </c>
    </row>
    <row r="263">
      <c r="K263" s="255" t="inlineStr">
        <is>
          <t>O-801;Amit Kumar</t>
        </is>
      </c>
      <c r="L263" s="256" t="n">
        <v>69987</v>
      </c>
    </row>
    <row r="264">
      <c r="K264" s="255" t="inlineStr">
        <is>
          <t>O-802,Bhadaniya Chand</t>
        </is>
      </c>
      <c r="L264" s="256" t="n">
        <v>98903</v>
      </c>
    </row>
    <row r="265">
      <c r="K265" s="255" t="inlineStr">
        <is>
          <t>O-803, Rahul M.Andharia</t>
        </is>
      </c>
      <c r="L265" s="256" t="n">
        <v>582755</v>
      </c>
    </row>
    <row r="266">
      <c r="K266" s="255" t="inlineStr">
        <is>
          <t>O-804,Rahulkumar Dharecha</t>
        </is>
      </c>
      <c r="L266" s="256" t="n">
        <v>1062599</v>
      </c>
    </row>
    <row r="267">
      <c r="K267" s="255" t="inlineStr">
        <is>
          <t>O/901 Mansukhani Geetadevi</t>
        </is>
      </c>
      <c r="L267" s="256" t="n">
        <v>38844</v>
      </c>
    </row>
    <row r="268">
      <c r="K268" s="255" t="inlineStr">
        <is>
          <t>O/903 Rahul / Mahendra N.Andharia</t>
        </is>
      </c>
      <c r="L268" s="256" t="n">
        <v>31910</v>
      </c>
    </row>
    <row r="269">
      <c r="K269" s="255" t="inlineStr">
        <is>
          <t>P-1001, Samruddhi &amp; Sandeep Mekde</t>
        </is>
      </c>
      <c r="L269" s="256" t="n">
        <v>125438</v>
      </c>
    </row>
    <row r="270">
      <c r="K270" s="255" t="inlineStr">
        <is>
          <t>P-1002,Brajeshkumar Malaviya</t>
        </is>
      </c>
      <c r="L270" s="256" t="n">
        <v>52254</v>
      </c>
    </row>
    <row r="271">
      <c r="K271" s="255" t="inlineStr">
        <is>
          <t>P-1004, Pratik Babulal Faldu</t>
        </is>
      </c>
      <c r="L271" s="256" t="n">
        <v>545338</v>
      </c>
    </row>
    <row r="272">
      <c r="K272" s="255" t="inlineStr">
        <is>
          <t>P-101, Rahul Ranjan</t>
        </is>
      </c>
      <c r="L272" s="256" t="n">
        <v>34036</v>
      </c>
    </row>
    <row r="273">
      <c r="K273" s="255" t="inlineStr">
        <is>
          <t>P-103, Raj Manishbhi Parikh</t>
        </is>
      </c>
      <c r="L273" s="256" t="n">
        <v>-258500</v>
      </c>
    </row>
    <row r="274">
      <c r="K274" s="255" t="inlineStr">
        <is>
          <t>P-1101, Premlata &amp; Chandra Prakash Salgia (AB)</t>
        </is>
      </c>
      <c r="L274" s="256" t="n">
        <v>2718300</v>
      </c>
    </row>
    <row r="275">
      <c r="K275" s="255" t="inlineStr">
        <is>
          <t>P-1204,Lokesh Manilal Suthar</t>
        </is>
      </c>
      <c r="L275" s="256" t="n">
        <v>214235</v>
      </c>
    </row>
    <row r="276">
      <c r="K276" s="255" t="inlineStr">
        <is>
          <t>P-201,Haum Dutt Gautam</t>
        </is>
      </c>
      <c r="L276" s="256" t="n">
        <v>63740</v>
      </c>
    </row>
    <row r="277">
      <c r="K277" s="255" t="inlineStr">
        <is>
          <t>P-204, Nikita Anil Bendre</t>
        </is>
      </c>
      <c r="L277" s="256" t="n">
        <v>542145</v>
      </c>
    </row>
    <row r="278">
      <c r="K278" s="255" t="inlineStr">
        <is>
          <t>P-302,Vidhyarth Shankar</t>
        </is>
      </c>
      <c r="L278" s="256" t="n">
        <v>42511</v>
      </c>
    </row>
    <row r="279">
      <c r="K279" s="255" t="inlineStr">
        <is>
          <t>P-303,Shyambahadur Namdev Sharma</t>
        </is>
      </c>
      <c r="L279" s="256" t="n">
        <v>198020</v>
      </c>
    </row>
    <row r="280">
      <c r="K280" s="255" t="inlineStr">
        <is>
          <t>P-304; Rupal Vishal Barad</t>
        </is>
      </c>
      <c r="L280" s="256" t="n">
        <v>508200</v>
      </c>
    </row>
    <row r="281">
      <c r="K281" s="255" t="inlineStr">
        <is>
          <t>P-402,Chandan Kumar Sharma</t>
        </is>
      </c>
      <c r="L281" s="256" t="n">
        <v>43564</v>
      </c>
    </row>
    <row r="282">
      <c r="K282" s="255" t="inlineStr">
        <is>
          <t>P-403,Rajesh Hothi</t>
        </is>
      </c>
      <c r="L282" s="256" t="n">
        <v>346534</v>
      </c>
    </row>
    <row r="283">
      <c r="K283" s="255" t="inlineStr">
        <is>
          <t>P-503, Shekhar Mudaliar</t>
        </is>
      </c>
      <c r="L283" s="256" t="n">
        <v>41337</v>
      </c>
    </row>
    <row r="284">
      <c r="K284" s="255" t="inlineStr">
        <is>
          <t>P-603, Rakesh Rathod</t>
        </is>
      </c>
      <c r="L284" s="256" t="n">
        <v>43484</v>
      </c>
    </row>
    <row r="285">
      <c r="K285" s="255" t="inlineStr">
        <is>
          <t>P-702,Bhargav Rashmikant Bosamiya</t>
        </is>
      </c>
      <c r="L285" s="256" t="n">
        <v>2970298</v>
      </c>
    </row>
    <row r="286">
      <c r="K286" s="255" t="inlineStr">
        <is>
          <t>P-704; Vishal Rajabhai Barad</t>
        </is>
      </c>
      <c r="L286" s="256" t="n">
        <v>516120</v>
      </c>
    </row>
    <row r="287">
      <c r="K287" s="255" t="inlineStr">
        <is>
          <t>P-801 Anand Kumar Pandey</t>
        </is>
      </c>
      <c r="L287" s="256" t="n">
        <v>3465344</v>
      </c>
    </row>
    <row r="288">
      <c r="K288" s="255" t="inlineStr">
        <is>
          <t>P-802,Garima Shri</t>
        </is>
      </c>
      <c r="L288" s="256" t="n">
        <v>990101</v>
      </c>
    </row>
    <row r="289">
      <c r="K289" s="255" t="inlineStr">
        <is>
          <t>P-904, Niruben Soni, Mohit Soni</t>
        </is>
      </c>
      <c r="L289" s="256" t="n">
        <v>475248</v>
      </c>
    </row>
  </sheetData>
  <autoFilter ref="B1:C1">
    <sortState ref="B2:C225">
      <sortCondition sortBy="cellColor" ref="B1" dxfId="7"/>
    </sortState>
  </autoFilter>
  <conditionalFormatting sqref="B1:B1048576">
    <cfRule type="duplicateValues" priority="1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K92"/>
  <sheetViews>
    <sheetView view="pageBreakPreview" topLeftCell="A61" zoomScaleSheetLayoutView="100" workbookViewId="0">
      <selection activeCell="B67" sqref="B67"/>
    </sheetView>
  </sheetViews>
  <sheetFormatPr baseColWidth="8" defaultColWidth="9" defaultRowHeight="14.25"/>
  <cols>
    <col width="75" customWidth="1" style="1" min="1" max="1"/>
    <col width="22.5703125" bestFit="1" customWidth="1" style="1" min="2" max="2"/>
    <col width="15.140625" customWidth="1" style="1" min="3" max="3"/>
    <col width="14.85546875" bestFit="1" customWidth="1" style="1" min="4" max="4"/>
    <col width="13.42578125" bestFit="1" customWidth="1" style="1" min="5" max="5"/>
    <col width="15.140625" bestFit="1" customWidth="1" style="1" min="6" max="6"/>
    <col width="9.5703125" bestFit="1" customWidth="1" style="1" min="7" max="7"/>
    <col width="22.5703125" bestFit="1" customWidth="1" style="1" min="8" max="8"/>
    <col width="12.140625" bestFit="1" customWidth="1" style="1" min="9" max="9"/>
    <col width="5" customWidth="1" style="1" min="10" max="10"/>
    <col width="10" bestFit="1" customWidth="1" style="1" min="11" max="11"/>
    <col width="10" customWidth="1" style="1" min="12" max="12"/>
    <col width="25.7109375" bestFit="1" customWidth="1" style="1" min="13" max="13"/>
    <col width="9" customWidth="1" style="1" min="14" max="16384"/>
  </cols>
  <sheetData>
    <row r="1" ht="15" customHeight="1">
      <c r="A1" s="1117" t="inlineStr">
        <is>
          <t>Sun Realty Atmosphere</t>
        </is>
      </c>
      <c r="B1" s="964" t="n"/>
      <c r="C1" s="964" t="n"/>
      <c r="D1" s="964" t="n"/>
      <c r="E1" s="964" t="n"/>
      <c r="F1" s="964" t="n"/>
      <c r="G1" s="457" t="n"/>
    </row>
    <row r="2" ht="15" customHeight="1">
      <c r="A2" s="966" t="n"/>
      <c r="G2" s="458" t="n"/>
    </row>
    <row r="3" ht="15" customHeight="1" thickBot="1">
      <c r="A3" s="968" t="n"/>
      <c r="B3" s="969" t="n"/>
      <c r="C3" s="969" t="n"/>
      <c r="D3" s="969" t="n"/>
      <c r="E3" s="969" t="n"/>
      <c r="F3" s="969" t="n"/>
      <c r="G3" s="458" t="n"/>
    </row>
    <row r="4" ht="15.75" customHeight="1" thickBot="1">
      <c r="A4" s="1118" t="inlineStr">
        <is>
          <t xml:space="preserve">                      GST PAYABLE ON COMMERCIAL CONSTRUCTION  FOR THE MONTH OF  AUG-26</t>
        </is>
      </c>
      <c r="B4" s="972" t="n"/>
      <c r="C4" s="972" t="n"/>
      <c r="D4" s="972" t="n"/>
      <c r="E4" s="972" t="n"/>
      <c r="F4" s="972" t="n"/>
      <c r="G4" s="458" t="n"/>
    </row>
    <row r="5" ht="15" customHeight="1" thickBot="1"/>
    <row r="6" ht="15" customHeight="1" thickBot="1">
      <c r="A6" s="1057" t="inlineStr">
        <is>
          <t>Supply</t>
        </is>
      </c>
      <c r="B6" s="1119" t="inlineStr">
        <is>
          <t>AMOUNT</t>
        </is>
      </c>
      <c r="C6" s="997" t="inlineStr">
        <is>
          <t>RATE</t>
        </is>
      </c>
      <c r="D6" s="997" t="inlineStr">
        <is>
          <t xml:space="preserve">CGST </t>
        </is>
      </c>
      <c r="E6" s="997" t="inlineStr">
        <is>
          <t>SGST</t>
        </is>
      </c>
      <c r="F6" s="998" t="inlineStr">
        <is>
          <t>TOTAL</t>
        </is>
      </c>
    </row>
    <row r="7">
      <c r="A7" s="1120" t="n"/>
      <c r="B7" s="1000" t="n"/>
      <c r="C7" s="1000" t="n"/>
      <c r="D7" s="1000" t="n"/>
      <c r="E7" s="1000" t="n"/>
      <c r="F7" s="1001" t="n"/>
    </row>
    <row r="8">
      <c r="A8" s="1121" t="inlineStr">
        <is>
          <t>SUN REALTY ATMOSPHERE RESIDENTIAL</t>
        </is>
      </c>
      <c r="B8" s="1122">
        <f>'SUN REALTY ATMOS-MEMBERS COLL'!V66</f>
        <v/>
      </c>
      <c r="C8" s="734" t="n">
        <v>0.01</v>
      </c>
      <c r="D8" s="982">
        <f>+B8*C8/2</f>
        <v/>
      </c>
      <c r="E8" s="982">
        <f>+D8</f>
        <v/>
      </c>
      <c r="F8" s="982">
        <f>+D8+E8</f>
        <v/>
      </c>
      <c r="H8" s="1007" t="n"/>
      <c r="I8" s="1007" t="n"/>
    </row>
    <row r="9">
      <c r="A9" s="1121" t="inlineStr">
        <is>
          <t xml:space="preserve">Less : Refund </t>
        </is>
      </c>
      <c r="B9" s="1122">
        <f>+-'SUN REALTY ATMOS-MEMBERS COLL'!M66</f>
        <v/>
      </c>
      <c r="C9" s="734" t="n">
        <v>0.01</v>
      </c>
      <c r="D9" s="982">
        <f>+B9*C9/2</f>
        <v/>
      </c>
      <c r="E9" s="982">
        <f>+D9</f>
        <v/>
      </c>
      <c r="F9" s="982">
        <f>+D9+E9</f>
        <v/>
      </c>
      <c r="I9" s="1123" t="n"/>
      <c r="J9" s="1123" t="n"/>
      <c r="K9" s="1123" t="n"/>
    </row>
    <row r="10">
      <c r="A10" s="1121" t="inlineStr">
        <is>
          <t>Less : Refund (GST PAID @1% INSTEAD OF 18%)</t>
        </is>
      </c>
      <c r="B10" s="1122" t="n"/>
      <c r="C10" s="734" t="n"/>
      <c r="D10" s="982" t="n"/>
      <c r="E10" s="982" t="n"/>
      <c r="F10" s="982" t="n"/>
    </row>
    <row r="11" ht="25.5" customHeight="1">
      <c r="A11" s="1124" t="inlineStr">
        <is>
          <t>Less: F-1101, Vijay Ojha
 [ Tax on the same has been already paid in mar'25, hence reversed]</t>
        </is>
      </c>
      <c r="B11" s="1122" t="n"/>
      <c r="C11" s="734" t="n">
        <v>0.01</v>
      </c>
      <c r="D11" s="982">
        <f>+B11*C11/2</f>
        <v/>
      </c>
      <c r="E11" s="982">
        <f>+D11</f>
        <v/>
      </c>
      <c r="F11" s="982">
        <f>+D11+E11</f>
        <v/>
      </c>
      <c r="I11" s="1102" t="n"/>
      <c r="J11" s="1102" t="n"/>
      <c r="K11" s="1102" t="n"/>
    </row>
    <row r="12">
      <c r="A12" s="1121" t="inlineStr">
        <is>
          <t>AS PER RECO</t>
        </is>
      </c>
      <c r="B12" s="1122" t="n"/>
      <c r="C12" s="734" t="n">
        <v>0.01</v>
      </c>
      <c r="D12" s="982">
        <f>+B12*C12/2</f>
        <v/>
      </c>
      <c r="E12" s="982">
        <f>D12</f>
        <v/>
      </c>
      <c r="F12" s="982">
        <f>+D12+E12</f>
        <v/>
      </c>
      <c r="H12" s="1007" t="n"/>
      <c r="I12" s="1007" t="n"/>
    </row>
    <row r="13">
      <c r="A13" s="1121" t="n"/>
      <c r="B13" s="1122" t="n"/>
      <c r="C13" s="734" t="n">
        <v>0.01</v>
      </c>
      <c r="D13" s="982" t="n"/>
      <c r="E13" s="982">
        <f>D13</f>
        <v/>
      </c>
      <c r="F13" s="982">
        <f>D13+E13</f>
        <v/>
      </c>
      <c r="H13" s="1125" t="n"/>
      <c r="I13" s="1007" t="n"/>
    </row>
    <row r="14" ht="15" customHeight="1" thickBot="1">
      <c r="A14" s="1126" t="n"/>
      <c r="B14" s="1003" t="n"/>
      <c r="C14" s="381" t="n"/>
      <c r="D14" s="1005" t="n"/>
      <c r="E14" s="1005" t="n"/>
      <c r="F14" s="1006" t="n"/>
      <c r="H14" s="1007" t="n"/>
      <c r="I14" s="1007" t="n"/>
    </row>
    <row r="15" ht="15" customHeight="1" thickBot="1">
      <c r="A15" s="1127" t="inlineStr">
        <is>
          <t>TOTAL @ 1%</t>
        </is>
      </c>
      <c r="B15" s="1128">
        <f>SUM(B8:B13)</f>
        <v/>
      </c>
      <c r="C15" s="446" t="n"/>
      <c r="D15" s="1129">
        <f>SUM(D8:D13)</f>
        <v/>
      </c>
      <c r="E15" s="1129">
        <f>SUM(E8:E13)</f>
        <v/>
      </c>
      <c r="F15" s="1130">
        <f>SUM(F8:F13)</f>
        <v/>
      </c>
      <c r="H15" s="1007" t="n"/>
      <c r="I15" s="1007" t="n"/>
    </row>
    <row r="16">
      <c r="A16" s="1126" t="n"/>
      <c r="B16" s="1003" t="n"/>
      <c r="C16" s="381" t="n"/>
      <c r="D16" s="1005" t="n"/>
      <c r="E16" s="1005" t="n"/>
      <c r="F16" s="1006" t="n"/>
      <c r="H16" s="1007" t="n"/>
      <c r="I16" s="1007" t="n"/>
    </row>
    <row r="17">
      <c r="A17" s="1121" t="inlineStr">
        <is>
          <t xml:space="preserve">Add:- PLC Amount Received </t>
        </is>
      </c>
      <c r="B17" s="1131" t="n"/>
      <c r="C17" s="734" t="n">
        <v>0.18</v>
      </c>
      <c r="D17" s="982">
        <f>B17*C17/2</f>
        <v/>
      </c>
      <c r="E17" s="982">
        <f>B17*C17/2</f>
        <v/>
      </c>
      <c r="F17" s="982">
        <f>+D17+E17</f>
        <v/>
      </c>
      <c r="G17" s="1007" t="n"/>
      <c r="H17" s="1007" t="n"/>
      <c r="I17" s="1007" t="n"/>
    </row>
    <row r="18">
      <c r="A18" s="1132" t="n"/>
      <c r="B18" s="1131" t="n">
        <v>0</v>
      </c>
      <c r="C18" s="734" t="n">
        <v>0.18</v>
      </c>
      <c r="D18" s="982">
        <f>B18*C18/2</f>
        <v/>
      </c>
      <c r="E18" s="982">
        <f>B18*C18/2</f>
        <v/>
      </c>
      <c r="F18" s="982">
        <f>+D18+E18</f>
        <v/>
      </c>
      <c r="G18" s="1007" t="n"/>
      <c r="H18" s="1007" t="n"/>
      <c r="I18" s="1007" t="n"/>
    </row>
    <row r="19" ht="15" customHeight="1" thickBot="1">
      <c r="A19" s="1133" t="n"/>
      <c r="B19" s="1134" t="n"/>
      <c r="C19" s="449" t="n">
        <v>0.18</v>
      </c>
      <c r="D19" s="1135">
        <f>B19*C19/2</f>
        <v/>
      </c>
      <c r="E19" s="1135">
        <f>B19*C19/2</f>
        <v/>
      </c>
      <c r="F19" s="1135">
        <f>+D19+E19</f>
        <v/>
      </c>
      <c r="G19" s="1007" t="n"/>
      <c r="H19" s="1007" t="n"/>
      <c r="I19" s="1007" t="n"/>
    </row>
    <row r="20" ht="15" customHeight="1" thickBot="1">
      <c r="A20" s="1127" t="inlineStr">
        <is>
          <t>TOTAL @ 18%</t>
        </is>
      </c>
      <c r="B20" s="1128">
        <f>SUM(B17:B19)</f>
        <v/>
      </c>
      <c r="C20" s="446" t="n"/>
      <c r="D20" s="1128">
        <f>SUM(D17:D19)</f>
        <v/>
      </c>
      <c r="E20" s="1128">
        <f>SUM(E17:E19)</f>
        <v/>
      </c>
      <c r="F20" s="1128">
        <f>SUM(F17:F19)</f>
        <v/>
      </c>
      <c r="G20" s="387" t="n"/>
      <c r="H20" s="1007" t="n"/>
      <c r="I20" s="1007" t="n"/>
    </row>
    <row r="21" ht="15" customHeight="1">
      <c r="A21" s="1136" t="n"/>
      <c r="B21" s="1005" t="n"/>
      <c r="C21" s="381" t="n"/>
      <c r="D21" s="1005" t="n"/>
      <c r="E21" s="1005" t="n"/>
      <c r="F21" s="1006" t="n"/>
      <c r="G21" s="388" t="n"/>
      <c r="H21" s="1007" t="n"/>
      <c r="I21" s="1007" t="n"/>
    </row>
    <row r="22" ht="25.5" customHeight="1">
      <c r="A22" s="1124" t="inlineStr">
        <is>
          <t>SUN REALTY ATMOSPHERE RESIDENTIAL 
( Sale Deed More Than 45 Lakhs )</t>
        </is>
      </c>
      <c r="B22" s="1122">
        <f>+'SUN REALTY ATMOS-MEMBERS COLL'!V78</f>
        <v/>
      </c>
      <c r="C22" s="734" t="n">
        <v>0.05</v>
      </c>
      <c r="D22" s="982">
        <f>+B22*C22/2</f>
        <v/>
      </c>
      <c r="E22" s="982">
        <f>+D22</f>
        <v/>
      </c>
      <c r="F22" s="982">
        <f>+D22+E22</f>
        <v/>
      </c>
      <c r="G22" s="387" t="n"/>
      <c r="H22" s="1007" t="n"/>
    </row>
    <row r="23" ht="15" customHeight="1" thickBot="1">
      <c r="A23" s="1137" t="inlineStr">
        <is>
          <t>Less : Refund @5%</t>
        </is>
      </c>
      <c r="B23" s="1138">
        <f>-'SUN REALTY ATMOS-MEMBERS COLL'!I78</f>
        <v/>
      </c>
      <c r="C23" s="449" t="n">
        <v>0.05</v>
      </c>
      <c r="D23" s="1135">
        <f>B23*C23/2</f>
        <v/>
      </c>
      <c r="E23" s="1135">
        <f>B23*C23/2</f>
        <v/>
      </c>
      <c r="F23" s="1135">
        <f>+D23+E23</f>
        <v/>
      </c>
    </row>
    <row r="24" ht="15" customHeight="1" thickBot="1">
      <c r="A24" s="1127" t="inlineStr">
        <is>
          <t>TOTAL @ 5%</t>
        </is>
      </c>
      <c r="B24" s="1128">
        <f>SUM(B22:B23)</f>
        <v/>
      </c>
      <c r="C24" s="446" t="n"/>
      <c r="D24" s="1128">
        <f>SUM(D22:D23)</f>
        <v/>
      </c>
      <c r="E24" s="1128">
        <f>SUM(E22:E23)</f>
        <v/>
      </c>
      <c r="F24" s="1139">
        <f>SUM(F22:F23)</f>
        <v/>
      </c>
      <c r="H24" s="1007" t="n"/>
    </row>
    <row r="25">
      <c r="A25" s="1140" t="n"/>
      <c r="B25" s="1141" t="n"/>
      <c r="C25" s="451" t="n"/>
      <c r="D25" s="981" t="n"/>
      <c r="E25" s="981" t="n"/>
      <c r="F25" s="981" t="n"/>
      <c r="G25" s="1007" t="n"/>
      <c r="H25" s="1007" t="n"/>
    </row>
    <row r="26">
      <c r="A26" s="1121" t="inlineStr">
        <is>
          <t>SUN REALTY ATMOSPHERE COMMERCIAL</t>
        </is>
      </c>
      <c r="B26" s="1122">
        <f>'SUN REALTY ATMOS-MEMBERS COLL'!V104+B82</f>
        <v/>
      </c>
      <c r="C26" s="734" t="n">
        <v>0.05</v>
      </c>
      <c r="D26" s="982">
        <f>B26*C26/2</f>
        <v/>
      </c>
      <c r="E26" s="982">
        <f>+D26</f>
        <v/>
      </c>
      <c r="F26" s="982">
        <f>+D26+E26</f>
        <v/>
      </c>
      <c r="H26" s="1007" t="n"/>
      <c r="I26" s="1007" t="n"/>
    </row>
    <row r="27">
      <c r="A27" s="1121" t="inlineStr">
        <is>
          <t xml:space="preserve">Less : Refund </t>
        </is>
      </c>
      <c r="B27" s="1122">
        <f>-'SUN REALTY ATMOS-MEMBERS COLL'!M104-'SUN REALTY ATMOS-MEMBERS COLL'!I104</f>
        <v/>
      </c>
      <c r="C27" s="734" t="n">
        <v>0.05</v>
      </c>
      <c r="D27" s="982">
        <f>B27*C27/2</f>
        <v/>
      </c>
      <c r="E27" s="982">
        <f>B27*C27/2</f>
        <v/>
      </c>
      <c r="F27" s="982">
        <f>+D27+E27</f>
        <v/>
      </c>
      <c r="G27" s="1007" t="n"/>
      <c r="H27" s="1007" t="n"/>
    </row>
    <row r="28">
      <c r="A28" s="1121" t="n"/>
      <c r="B28" s="1122" t="n"/>
      <c r="C28" s="734" t="n">
        <v>0.05</v>
      </c>
      <c r="D28" s="982" t="n"/>
      <c r="E28" s="982" t="n"/>
      <c r="F28" s="982" t="n"/>
      <c r="G28" s="1007" t="n"/>
      <c r="H28" s="1007" t="n"/>
    </row>
    <row r="29" ht="15" customHeight="1" thickBot="1">
      <c r="A29" s="1137" t="n"/>
      <c r="B29" s="1138" t="n"/>
      <c r="C29" s="449" t="n">
        <v>0.05</v>
      </c>
      <c r="D29" s="1135">
        <f>B29*C29/2</f>
        <v/>
      </c>
      <c r="E29" s="1135">
        <f>B29*C29/2</f>
        <v/>
      </c>
      <c r="F29" s="1135">
        <f>+D29+E29</f>
        <v/>
      </c>
      <c r="G29" s="1007" t="n"/>
      <c r="H29" s="1007" t="n"/>
    </row>
    <row r="30" ht="15" customHeight="1" thickBot="1">
      <c r="A30" s="1127" t="inlineStr">
        <is>
          <t>TOTAL @ 5%</t>
        </is>
      </c>
      <c r="B30" s="1128">
        <f>SUM(B26:B29)</f>
        <v/>
      </c>
      <c r="C30" s="446" t="n"/>
      <c r="D30" s="1128">
        <f>SUM(D26:D29)</f>
        <v/>
      </c>
      <c r="E30" s="1128">
        <f>SUM(E26:E29)</f>
        <v/>
      </c>
      <c r="F30" s="1139">
        <f>SUM(F26:F29)</f>
        <v/>
      </c>
      <c r="G30" s="1007" t="n"/>
      <c r="H30" s="1007" t="n"/>
    </row>
    <row r="31" ht="15" customHeight="1" thickBot="1">
      <c r="A31" s="1142" t="n"/>
      <c r="B31" s="1017" t="n"/>
      <c r="C31" s="381" t="n"/>
      <c r="D31" s="1005" t="n"/>
      <c r="E31" s="1005" t="n"/>
      <c r="F31" s="1006" t="n"/>
      <c r="G31" s="1125" t="n"/>
    </row>
    <row r="32" ht="15.75" customHeight="1" thickBot="1">
      <c r="A32" s="1143" t="inlineStr">
        <is>
          <t>TOTAL</t>
        </is>
      </c>
      <c r="B32" s="1144">
        <f>+B15+B20+B24+B30</f>
        <v/>
      </c>
      <c r="C32" s="1144" t="n"/>
      <c r="D32" s="1144">
        <f>+D15+D20+D24+D30</f>
        <v/>
      </c>
      <c r="E32" s="1144">
        <f>+E15+E20+E24+E30</f>
        <v/>
      </c>
      <c r="F32" s="1144">
        <f>+F15+F20+F24+F30</f>
        <v/>
      </c>
      <c r="G32" s="1007" t="n"/>
      <c r="H32" s="1007" t="n"/>
      <c r="I32" s="1007" t="n"/>
    </row>
    <row r="33">
      <c r="A33" s="1034" t="n"/>
      <c r="B33" s="1016" t="n"/>
      <c r="C33" s="1016" t="n"/>
      <c r="D33" s="1016" t="n"/>
      <c r="E33" s="1016" t="n"/>
      <c r="F33" s="1016" t="n"/>
      <c r="G33" s="1007" t="n"/>
      <c r="H33" s="1007" t="n"/>
      <c r="I33" s="1007" t="n"/>
    </row>
    <row r="34">
      <c r="A34" s="391" t="inlineStr">
        <is>
          <t>After BU sale deed Exempt sale</t>
        </is>
      </c>
      <c r="B34" s="392" t="n">
        <v>0</v>
      </c>
      <c r="C34" s="393" t="n"/>
      <c r="D34" s="393" t="n"/>
      <c r="E34" s="393" t="n"/>
      <c r="F34" s="1145" t="n"/>
      <c r="H34" s="1007" t="n"/>
      <c r="I34" s="1007" t="n"/>
    </row>
    <row r="35">
      <c r="A35" s="395" t="n"/>
      <c r="B35" s="396" t="n"/>
      <c r="F35" s="1007" t="n"/>
      <c r="H35" s="1007" t="n"/>
      <c r="I35" s="1007" t="n"/>
    </row>
    <row r="36">
      <c r="A36" s="395" t="n"/>
      <c r="B36" s="396" t="n"/>
      <c r="F36" s="1007" t="n"/>
      <c r="H36" s="1007" t="n"/>
      <c r="I36" s="1007" t="n"/>
    </row>
    <row r="37" hidden="1" ht="15" customHeight="1" thickBot="1">
      <c r="A37" s="1146" t="inlineStr">
        <is>
          <t>Supply</t>
        </is>
      </c>
      <c r="B37" s="1147" t="inlineStr">
        <is>
          <t>AMOUNT</t>
        </is>
      </c>
      <c r="C37" s="1148" t="inlineStr">
        <is>
          <t>RATE</t>
        </is>
      </c>
      <c r="D37" s="1148" t="inlineStr">
        <is>
          <t xml:space="preserve">CGST </t>
        </is>
      </c>
      <c r="E37" s="1147" t="inlineStr">
        <is>
          <t>SGST</t>
        </is>
      </c>
      <c r="F37" s="1149" t="inlineStr">
        <is>
          <t>TOTAL</t>
        </is>
      </c>
      <c r="H37" s="1007" t="n"/>
      <c r="I37" s="1007" t="n"/>
    </row>
    <row r="38" hidden="1">
      <c r="A38" s="398" t="inlineStr">
        <is>
          <t>TAXABLE VALUE @18%</t>
        </is>
      </c>
      <c r="B38" s="399" t="n"/>
      <c r="C38" s="734" t="n">
        <v>0.18</v>
      </c>
      <c r="D38" s="982">
        <f>B38*C38/2</f>
        <v/>
      </c>
      <c r="E38" s="1150">
        <f>+D38</f>
        <v/>
      </c>
      <c r="F38" s="1150">
        <f>+D38+E38</f>
        <v/>
      </c>
      <c r="H38" s="1007" t="n"/>
      <c r="I38" s="1007" t="n"/>
    </row>
    <row r="39" hidden="1">
      <c r="A39" s="398" t="inlineStr">
        <is>
          <t>TAXABLE VALUE @5%</t>
        </is>
      </c>
      <c r="B39" s="399" t="n"/>
      <c r="C39" s="734" t="n">
        <v>0.05</v>
      </c>
      <c r="D39" s="982">
        <f>B39*C39/2</f>
        <v/>
      </c>
      <c r="E39" s="1150">
        <f>+D39</f>
        <v/>
      </c>
      <c r="F39" s="1150">
        <f>+D39+E39</f>
        <v/>
      </c>
      <c r="H39" s="1007" t="n"/>
      <c r="I39" s="1007" t="n"/>
    </row>
    <row r="40" hidden="1" ht="15" customHeight="1" thickBot="1">
      <c r="A40" s="398" t="inlineStr">
        <is>
          <t>TAXABLE VALUE @1%</t>
        </is>
      </c>
      <c r="B40" s="399" t="n"/>
      <c r="C40" s="734" t="n">
        <v>0.01</v>
      </c>
      <c r="D40" s="982">
        <f>B40*C40/2</f>
        <v/>
      </c>
      <c r="E40" s="1150">
        <f>+D40</f>
        <v/>
      </c>
      <c r="F40" s="1150">
        <f>+D40+E40</f>
        <v/>
      </c>
      <c r="H40" s="1007" t="n"/>
      <c r="I40" s="1007" t="n"/>
    </row>
    <row r="41" hidden="1" ht="15" customHeight="1" thickBot="1">
      <c r="A41" s="1151" t="inlineStr">
        <is>
          <t>TOTAL</t>
        </is>
      </c>
      <c r="B41" s="403">
        <f>SUM(B38:B40)</f>
        <v/>
      </c>
      <c r="C41" s="404" t="n"/>
      <c r="D41" s="1152">
        <f>SUM(D38:D40)</f>
        <v/>
      </c>
      <c r="E41" s="1152">
        <f>SUM(E38:E40)</f>
        <v/>
      </c>
      <c r="F41" s="1152">
        <f>+D41+E41</f>
        <v/>
      </c>
      <c r="H41" s="1007">
        <f>8608-3304</f>
        <v/>
      </c>
      <c r="I41" s="1007" t="n"/>
    </row>
    <row r="42" ht="15" customHeight="1" thickBot="1">
      <c r="A42" s="395" t="n"/>
      <c r="B42" s="396" t="n"/>
      <c r="F42" s="1007" t="n"/>
      <c r="H42" s="1007" t="n"/>
      <c r="I42" s="1007" t="n"/>
    </row>
    <row r="43" ht="15" customHeight="1" thickBot="1">
      <c r="A43" s="1153" t="inlineStr">
        <is>
          <t xml:space="preserve">                  GST PAYABLE UNDER RCM FOR THE MONTH OF  AUG-26</t>
        </is>
      </c>
      <c r="B43" s="1154" t="n"/>
      <c r="C43" s="1154" t="n"/>
      <c r="D43" s="1154" t="n"/>
      <c r="E43" s="1154" t="n"/>
      <c r="F43" s="1155" t="n"/>
      <c r="G43" s="1016" t="n"/>
      <c r="H43" s="407" t="n"/>
      <c r="I43" s="407" t="n"/>
      <c r="J43" s="407" t="n"/>
    </row>
    <row r="44" ht="15" customHeight="1" thickBot="1">
      <c r="A44" s="1156" t="n"/>
      <c r="B44" s="1014" t="n"/>
      <c r="C44" s="1014" t="n"/>
      <c r="D44" s="1014" t="n"/>
      <c r="E44" s="1014" t="n"/>
      <c r="F44" s="1157" t="n"/>
      <c r="G44" s="1016" t="n"/>
      <c r="H44" s="1016" t="n"/>
    </row>
    <row r="45" ht="15" customHeight="1" thickBot="1">
      <c r="A45" s="1158" t="inlineStr">
        <is>
          <t>Service</t>
        </is>
      </c>
      <c r="B45" s="1159" t="inlineStr">
        <is>
          <t>AMOUNT</t>
        </is>
      </c>
      <c r="C45" s="1048" t="inlineStr">
        <is>
          <t>RATE</t>
        </is>
      </c>
      <c r="D45" s="1048" t="inlineStr">
        <is>
          <t>CGST</t>
        </is>
      </c>
      <c r="E45" s="1048" t="inlineStr">
        <is>
          <t>SGST</t>
        </is>
      </c>
      <c r="F45" s="1049" t="inlineStr">
        <is>
          <t>TOTAL</t>
        </is>
      </c>
    </row>
    <row r="46">
      <c r="A46" s="1160" t="n"/>
      <c r="B46" s="1141" t="n"/>
      <c r="C46" s="451" t="n"/>
      <c r="D46" s="981" t="n"/>
      <c r="E46" s="981" t="n"/>
      <c r="F46" s="1161" t="n"/>
    </row>
    <row r="47">
      <c r="A47" s="1162" t="inlineStr">
        <is>
          <t>SUN REALTY ATMOSPHERE</t>
        </is>
      </c>
      <c r="B47" s="1122" t="n"/>
      <c r="C47" s="734" t="n"/>
      <c r="D47" s="982" t="n"/>
      <c r="E47" s="982" t="n"/>
      <c r="F47" s="1092" t="n"/>
    </row>
    <row r="48">
      <c r="A48" s="1163" t="inlineStr">
        <is>
          <t>Advocate fees</t>
        </is>
      </c>
      <c r="B48" s="1122" t="n"/>
      <c r="C48" s="734" t="n">
        <v>0.18</v>
      </c>
      <c r="D48" s="982">
        <f>+B48*9/100</f>
        <v/>
      </c>
      <c r="E48" s="982">
        <f>+D48</f>
        <v/>
      </c>
      <c r="F48" s="1092">
        <f>+D48+E48</f>
        <v/>
      </c>
    </row>
    <row r="49" ht="28.5" customHeight="1">
      <c r="A49" s="1164" t="inlineStr">
        <is>
          <t>Carting and Transportation
 (Gayatri Sales Corp &amp; Ashokji Vanzara, mahesh v zamada)</t>
        </is>
      </c>
      <c r="B49" s="1122" t="n">
        <v>0</v>
      </c>
      <c r="C49" s="734" t="n">
        <v>0.05</v>
      </c>
      <c r="D49" s="982">
        <f>+B49*0.025</f>
        <v/>
      </c>
      <c r="E49" s="982">
        <f>+D49</f>
        <v/>
      </c>
      <c r="F49" s="1092">
        <f>+D49+E49</f>
        <v/>
      </c>
    </row>
    <row r="50">
      <c r="A50" s="1163" t="inlineStr">
        <is>
          <t>Security Services</t>
        </is>
      </c>
      <c r="B50" s="1122" t="n">
        <v>0</v>
      </c>
      <c r="C50" s="734" t="n">
        <v>0.18</v>
      </c>
      <c r="D50" s="982">
        <f>+B50*9%</f>
        <v/>
      </c>
      <c r="E50" s="982">
        <f>+B50*9%</f>
        <v/>
      </c>
      <c r="F50" s="1092">
        <f>SUM(D50:E50)</f>
        <v/>
      </c>
    </row>
    <row r="51">
      <c r="A51" s="1163" t="inlineStr">
        <is>
          <t>Royalty Expenses</t>
        </is>
      </c>
      <c r="B51" s="1122" t="n">
        <v>0</v>
      </c>
      <c r="C51" s="734" t="n">
        <v>0.18</v>
      </c>
      <c r="D51" s="982">
        <f>+B51*9%</f>
        <v/>
      </c>
      <c r="E51" s="982">
        <f>+B51*9%</f>
        <v/>
      </c>
      <c r="F51" s="1092">
        <f>SUM(D51:E51)</f>
        <v/>
      </c>
    </row>
    <row r="52" ht="15" customHeight="1" thickBot="1">
      <c r="A52" s="1165" t="n"/>
      <c r="B52" s="1138" t="n"/>
      <c r="C52" s="449" t="n"/>
      <c r="D52" s="1135" t="n"/>
      <c r="E52" s="1135" t="n"/>
      <c r="F52" s="1166" t="n"/>
    </row>
    <row r="53" ht="15" customHeight="1" thickBot="1">
      <c r="A53" s="1167" t="inlineStr">
        <is>
          <t>TOTAL</t>
        </is>
      </c>
      <c r="B53" s="1168">
        <f>SUM(B47:B52)</f>
        <v/>
      </c>
      <c r="C53" s="1011" t="n"/>
      <c r="D53" s="1011">
        <f>SUM(D47:D52)</f>
        <v/>
      </c>
      <c r="E53" s="1011">
        <f>SUM(E47:E52)</f>
        <v/>
      </c>
      <c r="F53" s="1012">
        <f>SUM(F47:F52)</f>
        <v/>
      </c>
    </row>
    <row r="54" ht="15" customHeight="1" thickBot="1">
      <c r="A54" s="1169" t="n"/>
      <c r="B54" s="1170" t="n"/>
      <c r="C54" s="1170" t="n"/>
      <c r="D54" s="1170" t="n"/>
      <c r="E54" s="1170" t="n"/>
      <c r="F54" s="1171" t="n"/>
      <c r="G54" s="1016" t="n"/>
      <c r="H54" s="1016" t="n"/>
    </row>
    <row r="55" ht="15" customHeight="1" thickBot="1">
      <c r="A55" s="1172" t="inlineStr">
        <is>
          <t xml:space="preserve">                    INELIGIBLE CREDIT FOR THE MONTH OF AUG-26</t>
        </is>
      </c>
      <c r="B55" s="969" t="n"/>
      <c r="C55" s="969" t="n"/>
      <c r="D55" s="970" t="n"/>
      <c r="E55" s="1016" t="n"/>
      <c r="F55" s="1016" t="n"/>
      <c r="G55" s="1016" t="n"/>
      <c r="H55" s="1016" t="n"/>
    </row>
    <row r="56" ht="15" customHeight="1" thickBot="1">
      <c r="A56" s="991" t="n"/>
      <c r="B56" s="991" t="n"/>
      <c r="C56" s="991" t="n"/>
      <c r="D56" s="991" t="n"/>
      <c r="E56" s="991" t="n"/>
      <c r="F56" s="991" t="n"/>
      <c r="G56" s="991" t="n"/>
      <c r="H56" s="991" t="n"/>
    </row>
    <row r="57">
      <c r="A57" s="1173" t="inlineStr">
        <is>
          <t>PARTICULARS</t>
        </is>
      </c>
      <c r="B57" s="1174" t="inlineStr">
        <is>
          <t>CGST</t>
        </is>
      </c>
      <c r="C57" s="1174" t="inlineStr">
        <is>
          <t>SGST</t>
        </is>
      </c>
      <c r="D57" s="1174" t="inlineStr">
        <is>
          <t>IGST</t>
        </is>
      </c>
      <c r="E57" s="1034" t="n"/>
      <c r="F57" s="991" t="n"/>
      <c r="G57" s="991" t="n"/>
      <c r="H57" s="991" t="n"/>
    </row>
    <row r="58">
      <c r="A58" s="1175" t="n"/>
      <c r="B58" s="1175" t="n"/>
      <c r="C58" s="1175" t="n"/>
      <c r="D58" s="1175" t="n"/>
      <c r="E58" s="1034" t="n"/>
      <c r="F58" s="991" t="n"/>
      <c r="G58" s="991" t="n"/>
      <c r="H58" s="991" t="n"/>
    </row>
    <row r="59">
      <c r="A59" s="1176" t="inlineStr">
        <is>
          <t xml:space="preserve"> ITC FOR THE AUG-26</t>
        </is>
      </c>
      <c r="B59" s="1177" t="n">
        <v>0</v>
      </c>
      <c r="C59" s="1177">
        <f>B59</f>
        <v/>
      </c>
      <c r="D59" s="1177" t="n">
        <v>0</v>
      </c>
      <c r="E59" s="1178" t="n"/>
      <c r="F59" s="991" t="n"/>
      <c r="G59" s="991" t="n"/>
      <c r="H59" s="991" t="n"/>
    </row>
    <row r="60">
      <c r="A60" s="1176" t="inlineStr">
        <is>
          <t>Add: Ineligible ITC (whole year adjustment)</t>
        </is>
      </c>
      <c r="B60" s="1177" t="n"/>
      <c r="C60" s="1177" t="n"/>
      <c r="D60" s="1177" t="n"/>
      <c r="E60" s="1033" t="n"/>
      <c r="F60" s="991" t="n"/>
      <c r="G60" s="991" t="n"/>
      <c r="H60" s="991" t="n"/>
    </row>
    <row r="61" ht="15" customHeight="1" thickBot="1">
      <c r="A61" s="1077" t="inlineStr">
        <is>
          <t>Add: Ineligible ITC For RCM</t>
        </is>
      </c>
      <c r="B61" s="1078">
        <f>+D53</f>
        <v/>
      </c>
      <c r="C61" s="1078">
        <f>+E53</f>
        <v/>
      </c>
      <c r="D61" s="1078" t="n"/>
      <c r="E61" s="1033" t="n"/>
      <c r="F61" s="991" t="n"/>
      <c r="G61" s="991" t="n"/>
      <c r="H61" s="991" t="n"/>
    </row>
    <row r="62" ht="15" customHeight="1" thickBot="1">
      <c r="A62" s="1179" t="inlineStr">
        <is>
          <t xml:space="preserve">         Total ineligible CENVAT</t>
        </is>
      </c>
      <c r="B62" s="1180">
        <f>SUM(B59:B61)</f>
        <v/>
      </c>
      <c r="C62" s="1180">
        <f>SUM(C59:C61)</f>
        <v/>
      </c>
      <c r="D62" s="1180">
        <f>SUM(D59:D59)</f>
        <v/>
      </c>
      <c r="E62" s="1033" t="n"/>
      <c r="F62" s="1074" t="n"/>
      <c r="G62" s="1074" t="n"/>
      <c r="H62" s="1074" t="n"/>
    </row>
    <row r="63" ht="15" customHeight="1" thickBot="1">
      <c r="A63" s="1181" t="inlineStr">
        <is>
          <t>TOTAL</t>
        </is>
      </c>
      <c r="B63" s="1182">
        <f>SUM(B62:B62)</f>
        <v/>
      </c>
      <c r="C63" s="1182">
        <f>SUM(C62:C62)</f>
        <v/>
      </c>
      <c r="D63" s="1182">
        <f>SUM(D62:D62)</f>
        <v/>
      </c>
      <c r="E63" s="1016" t="n"/>
      <c r="F63" s="1016" t="n"/>
      <c r="G63" s="1016" t="n"/>
      <c r="H63" s="991" t="n"/>
    </row>
    <row r="64">
      <c r="A64" s="1056" t="n"/>
      <c r="B64" s="1016" t="n"/>
      <c r="C64" s="1016" t="n"/>
      <c r="D64" s="1016" t="n"/>
      <c r="E64" s="1016" t="n"/>
      <c r="F64" s="991" t="n"/>
      <c r="G64" s="991" t="n"/>
      <c r="H64" s="991" t="n"/>
    </row>
    <row r="66">
      <c r="A66" s="1082" t="inlineStr">
        <is>
          <t xml:space="preserve">                GST Payable for the month of AUG-26</t>
        </is>
      </c>
      <c r="B66" s="972" t="n"/>
      <c r="C66" s="972" t="n"/>
      <c r="D66" s="973" t="n"/>
      <c r="E66" s="1016" t="n"/>
      <c r="F66" s="1016" t="n"/>
      <c r="G66" s="1016" t="n"/>
    </row>
    <row r="67" ht="15" customHeight="1" thickBot="1">
      <c r="C67" s="442" t="n"/>
      <c r="D67" s="442" t="n"/>
      <c r="E67" s="1083" t="n"/>
    </row>
    <row r="68" ht="16.5" customHeight="1" thickBot="1">
      <c r="A68" s="1035" t="inlineStr">
        <is>
          <t>PARTICULARS</t>
        </is>
      </c>
      <c r="B68" s="1057" t="inlineStr">
        <is>
          <t>CGST</t>
        </is>
      </c>
      <c r="C68" s="1057" t="inlineStr">
        <is>
          <t>SGST</t>
        </is>
      </c>
      <c r="D68" s="1057" t="inlineStr">
        <is>
          <t>TOTAL</t>
        </is>
      </c>
      <c r="E68" s="433" t="n"/>
    </row>
    <row r="69">
      <c r="A69" s="347" t="n"/>
      <c r="B69" s="1069" t="n"/>
      <c r="C69" s="1069" t="n"/>
      <c r="D69" s="1069" t="n"/>
      <c r="E69" s="991" t="n"/>
    </row>
    <row r="70">
      <c r="A70" s="603">
        <f>+A8</f>
        <v/>
      </c>
      <c r="B70" s="1183">
        <f>+D32</f>
        <v/>
      </c>
      <c r="C70" s="1177">
        <f>+E32</f>
        <v/>
      </c>
      <c r="D70" s="1184">
        <f>+F32</f>
        <v/>
      </c>
      <c r="E70" s="1033" t="n"/>
    </row>
    <row r="71" ht="15" customHeight="1" thickBot="1">
      <c r="A71" s="606" t="n"/>
      <c r="B71" s="1185" t="n"/>
      <c r="C71" s="1078" t="n"/>
      <c r="D71" s="1186" t="n"/>
      <c r="E71" s="1033" t="n"/>
    </row>
    <row r="72" ht="15" customHeight="1" thickBot="1">
      <c r="A72" s="762" t="inlineStr">
        <is>
          <t>TOTAL PAYABLE FOR RESIDENTIAL INCLUDING IGST</t>
        </is>
      </c>
      <c r="B72" s="1180">
        <f>+B70+B71</f>
        <v/>
      </c>
      <c r="C72" s="1180">
        <f>+C70+C71</f>
        <v/>
      </c>
      <c r="D72" s="1180">
        <f>+D70+D71</f>
        <v/>
      </c>
      <c r="E72" s="1033" t="n"/>
    </row>
    <row r="73">
      <c r="A73" s="758" t="n"/>
      <c r="B73" s="1187" t="n"/>
      <c r="C73" s="1188" t="n"/>
      <c r="D73" s="1189" t="n"/>
      <c r="E73" s="1033" t="n"/>
    </row>
    <row r="74">
      <c r="A74" s="1190" t="inlineStr">
        <is>
          <t>GST UNDER RCM</t>
        </is>
      </c>
      <c r="B74" s="1183" t="n"/>
      <c r="C74" s="1177" t="n"/>
      <c r="D74" s="1184" t="n"/>
      <c r="E74" s="1033" t="n"/>
    </row>
    <row r="75">
      <c r="A75" s="604" t="inlineStr">
        <is>
          <t>SUN ATMOSPHERE</t>
        </is>
      </c>
      <c r="B75" s="1183">
        <f>D49+D50+D48+D51</f>
        <v/>
      </c>
      <c r="C75" s="1177">
        <f>B75</f>
        <v/>
      </c>
      <c r="D75" s="1184">
        <f>+B75+C75</f>
        <v/>
      </c>
      <c r="E75" s="1033" t="n"/>
    </row>
    <row r="76" ht="15" customHeight="1" thickBot="1">
      <c r="A76" s="606" t="inlineStr">
        <is>
          <t>SUN OFFICE</t>
        </is>
      </c>
      <c r="B76" s="1191" t="n"/>
      <c r="C76" s="1192" t="n"/>
      <c r="D76" s="1193">
        <f>+B76+C76</f>
        <v/>
      </c>
      <c r="E76" s="1033" t="n"/>
    </row>
    <row r="77" ht="15" customHeight="1" thickBot="1">
      <c r="A77" s="605" t="inlineStr">
        <is>
          <t xml:space="preserve">            GST Payable</t>
        </is>
      </c>
      <c r="B77" s="1194">
        <f>+B72+B75+B76</f>
        <v/>
      </c>
      <c r="C77" s="1194">
        <f>+C72+C75+C76</f>
        <v/>
      </c>
      <c r="D77" s="1194">
        <f>+D72+D75+D76</f>
        <v/>
      </c>
      <c r="E77" s="1086" t="n"/>
      <c r="F77" s="1007" t="n"/>
      <c r="G77" s="1007" t="n"/>
    </row>
    <row r="78" ht="15" customHeight="1" thickBot="1">
      <c r="A78" s="605" t="inlineStr">
        <is>
          <t xml:space="preserve">           Net GST Payable</t>
        </is>
      </c>
      <c r="B78" s="1195">
        <f>+B77</f>
        <v/>
      </c>
      <c r="C78" s="1194">
        <f>+C77</f>
        <v/>
      </c>
      <c r="D78" s="1194">
        <f>+D77</f>
        <v/>
      </c>
      <c r="E78" s="1086" t="n"/>
      <c r="F78" s="440" t="n"/>
      <c r="G78" s="1007" t="n"/>
    </row>
    <row r="81">
      <c r="A81" s="398" t="n"/>
      <c r="B81" s="398" t="n"/>
      <c r="C81" s="398" t="n"/>
      <c r="D81" s="398" t="n"/>
    </row>
    <row r="82">
      <c r="A82" s="331" t="n"/>
      <c r="B82" s="331" t="n"/>
      <c r="C82" s="331" t="n"/>
      <c r="D82" s="331" t="n"/>
      <c r="E82" s="330" t="n"/>
    </row>
    <row r="84">
      <c r="B84" s="330" t="n"/>
      <c r="C84" s="330" t="n"/>
      <c r="D84" s="330" t="n"/>
    </row>
    <row r="85">
      <c r="A85" s="441" t="n"/>
      <c r="B85" s="442" t="n"/>
      <c r="C85" s="442" t="n"/>
      <c r="D85" s="442" t="n"/>
    </row>
    <row r="86">
      <c r="A86" s="441" t="n"/>
      <c r="B86" s="442" t="n"/>
      <c r="C86" s="442" t="n"/>
      <c r="D86" s="442" t="n"/>
    </row>
    <row r="87">
      <c r="A87" s="441" t="n"/>
      <c r="B87" s="442" t="n"/>
      <c r="C87" s="442" t="n"/>
      <c r="D87" s="442" t="n"/>
    </row>
    <row r="88">
      <c r="A88" s="330" t="n"/>
      <c r="B88" s="443" t="n"/>
      <c r="C88" s="443" t="n"/>
      <c r="D88" s="443" t="n"/>
    </row>
    <row r="89">
      <c r="B89" s="442" t="n"/>
      <c r="C89" s="442" t="n"/>
      <c r="D89" s="442" t="n"/>
    </row>
    <row r="92">
      <c r="A92" s="802">
        <f>+'SUN REALTY ATMOS-MEMBERS COLL'!B112</f>
        <v/>
      </c>
    </row>
  </sheetData>
  <mergeCells count="5">
    <mergeCell ref="A55:D55"/>
    <mergeCell ref="A1:F3"/>
    <mergeCell ref="A4:F4"/>
    <mergeCell ref="A66:D66"/>
    <mergeCell ref="A43:F43"/>
  </mergeCells>
  <hyperlinks>
    <hyperlink xmlns:r="http://schemas.openxmlformats.org/officeDocument/2006/relationships" ref="E6" r:id="rId1"/>
    <hyperlink xmlns:r="http://schemas.openxmlformats.org/officeDocument/2006/relationships" ref="E37" r:id="rId2"/>
    <hyperlink xmlns:r="http://schemas.openxmlformats.org/officeDocument/2006/relationships" ref="E45" r:id="rId3"/>
  </hyperlinks>
  <pageMargins left="0.7" right="0.7" top="0.75" bottom="0.75" header="0.3" footer="0.3"/>
  <pageSetup orientation="portrait" paperSize="9" scale="56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N235"/>
  <sheetViews>
    <sheetView zoomScale="91" zoomScaleNormal="91" workbookViewId="0">
      <pane xSplit="2" ySplit="8" topLeftCell="J102" activePane="bottomRight" state="frozen"/>
      <selection activeCell="A77" sqref="A77:E77"/>
      <selection pane="topRight" activeCell="A77" sqref="A77:E77"/>
      <selection pane="bottomLeft" activeCell="A77" sqref="A77:E77"/>
      <selection pane="bottomRight" activeCell="N93" sqref="N93"/>
    </sheetView>
  </sheetViews>
  <sheetFormatPr baseColWidth="8" defaultRowHeight="15"/>
  <cols>
    <col width="23.28515625" customWidth="1" min="1" max="1"/>
    <col width="60" customWidth="1" min="2" max="2"/>
    <col width="22.7109375" bestFit="1" customWidth="1" min="3" max="3"/>
    <col width="24.42578125" customWidth="1" min="4" max="4"/>
    <col width="21.7109375" customWidth="1" min="5" max="8"/>
    <col width="20" customWidth="1" min="9" max="9"/>
    <col width="21.7109375" bestFit="1" customWidth="1" min="10" max="10"/>
    <col width="21.7109375" customWidth="1" min="11" max="12"/>
    <col width="21.85546875" bestFit="1" customWidth="1" min="13" max="13"/>
    <col width="14.85546875" bestFit="1" customWidth="1" min="14" max="14"/>
  </cols>
  <sheetData>
    <row r="1">
      <c r="A1" s="1196" t="inlineStr">
        <is>
          <t>Sun Realty</t>
        </is>
      </c>
      <c r="B1" s="964" t="n"/>
      <c r="C1" s="964" t="n"/>
      <c r="D1" s="964" t="n"/>
      <c r="E1" s="964" t="n"/>
      <c r="F1" s="964" t="n"/>
      <c r="G1" s="964" t="n"/>
      <c r="H1" s="964" t="n"/>
      <c r="I1" s="964" t="n"/>
      <c r="J1" s="964" t="n"/>
      <c r="K1" s="964" t="n"/>
      <c r="L1" s="964" t="n"/>
      <c r="M1" s="965" t="n"/>
    </row>
    <row r="2">
      <c r="A2" s="966" t="n"/>
      <c r="M2" s="967" t="n"/>
    </row>
    <row r="3" ht="15.75" customHeight="1" thickBot="1">
      <c r="A3" s="968" t="n"/>
      <c r="B3" s="969" t="n"/>
      <c r="C3" s="969" t="n"/>
      <c r="D3" s="969" t="n"/>
      <c r="E3" s="969" t="n"/>
      <c r="F3" s="969" t="n"/>
      <c r="G3" s="969" t="n"/>
      <c r="H3" s="969" t="n"/>
      <c r="I3" s="969" t="n"/>
      <c r="J3" s="969" t="n"/>
      <c r="K3" s="969" t="n"/>
      <c r="L3" s="969" t="n"/>
      <c r="M3" s="970" t="n"/>
    </row>
    <row r="4" ht="19.5" customHeight="1" thickBot="1">
      <c r="A4" s="971" t="inlineStr">
        <is>
          <t>CALCULATION For the month of AUG-26</t>
        </is>
      </c>
      <c r="B4" s="972" t="n"/>
      <c r="C4" s="972" t="n"/>
      <c r="D4" s="972" t="n"/>
      <c r="E4" s="972" t="n"/>
      <c r="F4" s="972" t="n"/>
      <c r="G4" s="972" t="n"/>
      <c r="H4" s="972" t="n"/>
      <c r="I4" s="972" t="n"/>
      <c r="J4" s="972" t="n"/>
      <c r="K4" s="972" t="n"/>
      <c r="L4" s="972" t="n"/>
      <c r="M4" s="973" t="n"/>
    </row>
    <row r="5" ht="18.75" customHeight="1">
      <c r="A5" s="975" t="n"/>
      <c r="B5" s="976" t="n"/>
      <c r="C5" s="976" t="n"/>
      <c r="D5" s="976" t="n"/>
      <c r="E5" s="976" t="n"/>
      <c r="F5" s="976" t="n"/>
      <c r="G5" s="976" t="n"/>
      <c r="H5" s="976" t="n"/>
      <c r="I5" s="975" t="n"/>
      <c r="J5" s="975" t="n"/>
      <c r="K5" s="975" t="n"/>
      <c r="L5" s="975" t="n"/>
    </row>
    <row r="6" ht="21.75" customHeight="1" thickBot="1">
      <c r="A6" s="1099" t="inlineStr">
        <is>
          <t xml:space="preserve"> MEMBERS COLLECTION</t>
        </is>
      </c>
      <c r="B6" s="969" t="n"/>
      <c r="C6" s="969" t="n"/>
      <c r="D6" s="977" t="n"/>
      <c r="E6" s="977" t="n"/>
      <c r="F6" s="977" t="n"/>
      <c r="G6" s="977" t="n"/>
      <c r="H6" s="977" t="n"/>
      <c r="I6" s="975" t="n"/>
      <c r="J6" s="975" t="n"/>
      <c r="K6" s="975" t="n"/>
      <c r="L6" s="975" t="n"/>
    </row>
    <row r="7" ht="15" customHeight="1">
      <c r="A7" s="301" t="inlineStr">
        <is>
          <t>Flat No.</t>
        </is>
      </c>
      <c r="B7" s="300" t="inlineStr">
        <is>
          <t>Name of Owner</t>
        </is>
      </c>
      <c r="C7" s="301" t="inlineStr">
        <is>
          <t>CR SIDE</t>
        </is>
      </c>
      <c r="D7" s="301" t="inlineStr">
        <is>
          <t>Receipt of Registration Fees/JV / REFUNDABLE(Cr)</t>
        </is>
      </c>
      <c r="E7" s="301" t="inlineStr">
        <is>
          <t>Payment of Reg Fees on Behalf of Client / JV REFUNDABLE (Dr)</t>
        </is>
      </c>
      <c r="F7" s="301" t="inlineStr">
        <is>
          <t>Receipt of Stamp Duty/JV (Cr)</t>
        </is>
      </c>
      <c r="G7" s="301" t="inlineStr">
        <is>
          <t>Payment of Stamp Duty/JV (Dr)</t>
        </is>
      </c>
      <c r="H7" s="301" t="inlineStr">
        <is>
          <t>cheque withdrawn</t>
        </is>
      </c>
      <c r="I7" s="301" t="inlineStr">
        <is>
          <t>REFUND OF SAME PEROID WITH GST</t>
        </is>
      </c>
      <c r="J7" s="301" t="inlineStr">
        <is>
          <t>REFUND WITHOUT GST</t>
        </is>
      </c>
      <c r="K7" s="849" t="n"/>
      <c r="L7" s="301" t="inlineStr">
        <is>
          <t>AEC,AUDA JV</t>
        </is>
      </c>
      <c r="M7" s="301" t="inlineStr">
        <is>
          <t>NET RECEIPT</t>
        </is>
      </c>
      <c r="N7" s="301" t="inlineStr">
        <is>
          <t>cgst</t>
        </is>
      </c>
    </row>
    <row r="8" ht="57.75" customHeight="1" thickBot="1">
      <c r="A8" s="979" t="n"/>
      <c r="B8" s="979" t="n"/>
      <c r="C8" s="979" t="n"/>
      <c r="D8" s="979" t="n"/>
      <c r="E8" s="979" t="n"/>
      <c r="F8" s="979" t="n"/>
      <c r="G8" s="979" t="n"/>
      <c r="H8" s="979" t="n"/>
      <c r="I8" s="979" t="n"/>
      <c r="J8" s="979" t="n"/>
      <c r="K8" s="850" t="inlineStr">
        <is>
          <t>Payment for Cancellation of unit /Reg fee/Stamp Duty</t>
        </is>
      </c>
      <c r="L8" s="979" t="n"/>
      <c r="M8" s="979" t="n"/>
      <c r="N8" s="979" t="n"/>
    </row>
    <row r="9" ht="18.75" customFormat="1" customHeight="1" s="1">
      <c r="A9" s="632" t="inlineStr">
        <is>
          <t>A/0104</t>
        </is>
      </c>
      <c r="B9" s="351" t="inlineStr">
        <is>
          <t>A-104,Gautam Prakash Narayan , Ragini Gautam</t>
        </is>
      </c>
      <c r="C9" s="1100" t="n">
        <v>864614.7</v>
      </c>
      <c r="D9" s="140" t="n"/>
      <c r="E9" s="140">
        <f>+D9</f>
        <v/>
      </c>
      <c r="F9" s="140" t="n">
        <v>255702.7</v>
      </c>
      <c r="G9" s="140">
        <f>+F9</f>
        <v/>
      </c>
      <c r="H9" s="140" t="n"/>
      <c r="I9" s="140" t="n"/>
      <c r="J9" s="140" t="n"/>
      <c r="K9" s="140" t="n"/>
      <c r="L9" s="140" t="n"/>
      <c r="M9" s="1197">
        <f>C9-D9-F9-H9</f>
        <v/>
      </c>
      <c r="N9" s="1102">
        <f>M9*0.5/100</f>
        <v/>
      </c>
    </row>
    <row r="10" ht="18.75" customFormat="1" customHeight="1" s="1">
      <c r="A10" s="632" t="inlineStr">
        <is>
          <t>A/0301</t>
        </is>
      </c>
      <c r="B10" s="351" t="inlineStr">
        <is>
          <t>A-301, Savitaben Mohanbhai Maheriya</t>
        </is>
      </c>
      <c r="C10" s="1101" t="n">
        <v>455446</v>
      </c>
      <c r="D10" s="347" t="n"/>
      <c r="E10" s="140">
        <f>+D10</f>
        <v/>
      </c>
      <c r="F10" s="347" t="n"/>
      <c r="G10" s="347">
        <f>F10</f>
        <v/>
      </c>
      <c r="H10" s="347" t="n">
        <v>0</v>
      </c>
      <c r="I10" s="347" t="n"/>
      <c r="J10" s="347" t="n"/>
      <c r="K10" s="347" t="n"/>
      <c r="L10" s="347" t="n"/>
      <c r="M10" s="1197">
        <f>C10-D10-F10-H10</f>
        <v/>
      </c>
      <c r="N10" s="1102">
        <f>M10*0.5/100</f>
        <v/>
      </c>
    </row>
    <row r="11" ht="18.75" customFormat="1" customHeight="1" s="1">
      <c r="A11" s="372" t="inlineStr">
        <is>
          <t>A/0401</t>
        </is>
      </c>
      <c r="B11" s="351" t="inlineStr">
        <is>
          <t>A/401, Nishaben Pragnesh Modi</t>
        </is>
      </c>
      <c r="C11" s="1101" t="n">
        <v>179286.7</v>
      </c>
      <c r="D11" s="347" t="n"/>
      <c r="E11" s="140">
        <f>+D11</f>
        <v/>
      </c>
      <c r="F11" s="347" t="n">
        <v>179286.7</v>
      </c>
      <c r="G11" s="347">
        <f>F11</f>
        <v/>
      </c>
      <c r="H11" s="347" t="n"/>
      <c r="I11" s="347" t="n"/>
      <c r="J11" s="347" t="n"/>
      <c r="K11" s="347" t="n"/>
      <c r="L11" s="347" t="n"/>
      <c r="M11" s="1197">
        <f>C11-D11-F11-H11</f>
        <v/>
      </c>
      <c r="N11" s="1102">
        <f>M11*0.5/100</f>
        <v/>
      </c>
    </row>
    <row r="12" ht="18.75" customFormat="1" customHeight="1" s="1">
      <c r="A12" s="372" t="inlineStr">
        <is>
          <t>A/0501</t>
        </is>
      </c>
      <c r="B12" s="351" t="inlineStr">
        <is>
          <t>A/501, Ashviniben Rameshbhai Kanzariya</t>
        </is>
      </c>
      <c r="C12" s="1101" t="n">
        <v>171735.7</v>
      </c>
      <c r="D12" s="347" t="n"/>
      <c r="E12" s="140">
        <f>+D12</f>
        <v/>
      </c>
      <c r="F12" s="347" t="n">
        <v>171735.7</v>
      </c>
      <c r="G12" s="347">
        <f>F12</f>
        <v/>
      </c>
      <c r="H12" s="347" t="n"/>
      <c r="I12" s="347" t="n"/>
      <c r="J12" s="347" t="n"/>
      <c r="K12" s="347" t="n"/>
      <c r="L12" s="347" t="n"/>
      <c r="M12" s="1197">
        <f>C12-D12-F12-H12</f>
        <v/>
      </c>
      <c r="N12" s="1102">
        <f>M12*0.5/100</f>
        <v/>
      </c>
    </row>
    <row r="13" ht="18.75" customFormat="1" customHeight="1" s="1">
      <c r="A13" s="372" t="inlineStr">
        <is>
          <t>A/0602</t>
        </is>
      </c>
      <c r="B13" s="351" t="inlineStr">
        <is>
          <t>A-602, Pratik Dipak Shah</t>
        </is>
      </c>
      <c r="C13" s="1103" t="n">
        <v>42884.75</v>
      </c>
      <c r="D13" s="347" t="n"/>
      <c r="E13" s="140">
        <f>+D13</f>
        <v/>
      </c>
      <c r="F13" s="347" t="n">
        <v>42885</v>
      </c>
      <c r="G13" s="347">
        <f>F13</f>
        <v/>
      </c>
      <c r="H13" s="347" t="n"/>
      <c r="I13" s="347" t="n"/>
      <c r="J13" s="347" t="n"/>
      <c r="K13" s="347" t="n"/>
      <c r="L13" s="347" t="n"/>
      <c r="M13" s="1197">
        <f>C13-D13-F13-H13</f>
        <v/>
      </c>
      <c r="N13" s="1102">
        <f>M13*0.5/100</f>
        <v/>
      </c>
    </row>
    <row r="14" ht="18.75" customFormat="1" customHeight="1" s="1">
      <c r="A14" s="372" t="inlineStr">
        <is>
          <t>A/0603</t>
        </is>
      </c>
      <c r="B14" s="351" t="inlineStr">
        <is>
          <t>A-603, Mohitkumar J.Agravat / Anjali M.Agravat</t>
        </is>
      </c>
      <c r="C14" s="1101" t="n">
        <v>489952</v>
      </c>
      <c r="D14" s="347" t="n"/>
      <c r="E14" s="140">
        <f>+D14</f>
        <v/>
      </c>
      <c r="F14" s="347" t="n"/>
      <c r="G14" s="347">
        <f>F14</f>
        <v/>
      </c>
      <c r="H14" s="347" t="n"/>
      <c r="I14" s="347" t="n"/>
      <c r="J14" s="347" t="n"/>
      <c r="K14" s="347" t="n"/>
      <c r="L14" s="347" t="n"/>
      <c r="M14" s="1197">
        <f>C14-D14-F14-H14</f>
        <v/>
      </c>
      <c r="N14" s="1102">
        <f>M14*0.5/100</f>
        <v/>
      </c>
    </row>
    <row r="15" ht="18.75" customFormat="1" customHeight="1" s="1">
      <c r="A15" s="371" t="inlineStr">
        <is>
          <t>A/0902</t>
        </is>
      </c>
      <c r="B15" s="351" t="inlineStr">
        <is>
          <t>A-902, Yogina Tripathi /Sanjay Tripathi</t>
        </is>
      </c>
      <c r="C15" s="1103" t="n">
        <v>1980198</v>
      </c>
      <c r="D15" s="347" t="n"/>
      <c r="E15" s="140">
        <f>+D15</f>
        <v/>
      </c>
      <c r="F15" s="347" t="n"/>
      <c r="G15" s="347">
        <f>F15</f>
        <v/>
      </c>
      <c r="H15" s="347" t="n"/>
      <c r="I15" s="347" t="n"/>
      <c r="J15" s="347" t="n"/>
      <c r="K15" s="347" t="n"/>
      <c r="L15" s="347" t="n"/>
      <c r="M15" s="1197">
        <f>C15-D15-F15-H15</f>
        <v/>
      </c>
      <c r="N15" s="1102">
        <f>M15*0.5/100</f>
        <v/>
      </c>
    </row>
    <row r="16" ht="18.75" customFormat="1" customHeight="1" s="1">
      <c r="A16" s="371" t="inlineStr">
        <is>
          <t>A/1001</t>
        </is>
      </c>
      <c r="B16" s="351" t="inlineStr">
        <is>
          <t>A/1001 Reena Dadlani</t>
        </is>
      </c>
      <c r="C16" s="1101" t="n">
        <v>264096</v>
      </c>
      <c r="D16" s="347" t="n"/>
      <c r="E16" s="140">
        <f>+D16</f>
        <v/>
      </c>
      <c r="F16" s="347">
        <f>239096+25000</f>
        <v/>
      </c>
      <c r="G16" s="347" t="n">
        <v>239096</v>
      </c>
      <c r="H16" s="347" t="n"/>
      <c r="I16" s="347" t="n"/>
      <c r="J16" s="347" t="n"/>
      <c r="K16" s="347" t="n"/>
      <c r="L16" s="347" t="n"/>
      <c r="M16" s="1197">
        <f>C16-D16-F16-H16</f>
        <v/>
      </c>
      <c r="N16" s="1102">
        <f>M16*0.5/100</f>
        <v/>
      </c>
    </row>
    <row r="17" ht="18.75" customFormat="1" customHeight="1" s="1">
      <c r="A17" s="371" t="inlineStr">
        <is>
          <t>A/1304</t>
        </is>
      </c>
      <c r="B17" s="351" t="inlineStr">
        <is>
          <t>A1304, Mohit Raja</t>
        </is>
      </c>
      <c r="C17" s="1101" t="n">
        <v>792080</v>
      </c>
      <c r="D17" s="347" t="n"/>
      <c r="E17" s="140">
        <f>+D17</f>
        <v/>
      </c>
      <c r="F17" s="347" t="n"/>
      <c r="G17" s="347">
        <f>F17</f>
        <v/>
      </c>
      <c r="H17" s="347" t="n"/>
      <c r="I17" s="347" t="n"/>
      <c r="J17" s="347" t="n"/>
      <c r="K17" s="347" t="n"/>
      <c r="L17" s="347" t="n"/>
      <c r="M17" s="1197">
        <f>C17-D17-F17-H17</f>
        <v/>
      </c>
      <c r="N17" s="1102">
        <f>M17*0.5/100</f>
        <v/>
      </c>
    </row>
    <row r="18" ht="18.75" customFormat="1" customHeight="1" s="1">
      <c r="A18" s="371" t="inlineStr">
        <is>
          <t>B/0203</t>
        </is>
      </c>
      <c r="B18" s="351" t="inlineStr">
        <is>
          <t>B-203, Shubham Alkeshbhai Gohel</t>
        </is>
      </c>
      <c r="C18" s="1101" t="n">
        <v>434908</v>
      </c>
      <c r="D18" s="1101" t="n"/>
      <c r="E18" s="140">
        <f>+D18</f>
        <v/>
      </c>
      <c r="F18" s="347" t="n"/>
      <c r="G18" s="347">
        <f>F18</f>
        <v/>
      </c>
      <c r="H18" s="347" t="n"/>
      <c r="I18" s="347" t="n"/>
      <c r="J18" s="347" t="n"/>
      <c r="K18" s="347" t="n"/>
      <c r="L18" s="347" t="n"/>
      <c r="M18" s="1197">
        <f>C18-D18-F18-H18</f>
        <v/>
      </c>
      <c r="N18" s="1102">
        <f>M18*0.5/100</f>
        <v/>
      </c>
    </row>
    <row r="19" ht="18.75" customFormat="1" customHeight="1" s="1">
      <c r="A19" s="371" t="inlineStr">
        <is>
          <t>B/0504</t>
        </is>
      </c>
      <c r="B19" s="351" t="inlineStr">
        <is>
          <t>B/504, Prakashnath Devnath Jogi</t>
        </is>
      </c>
      <c r="C19" s="1101" t="n">
        <v>311477</v>
      </c>
      <c r="D19" s="347">
        <f>25000+43715</f>
        <v/>
      </c>
      <c r="E19" s="140">
        <f>+D19</f>
        <v/>
      </c>
      <c r="F19" s="347" t="n">
        <v>201955</v>
      </c>
      <c r="G19" s="347">
        <f>+F19</f>
        <v/>
      </c>
      <c r="H19" s="347" t="n"/>
      <c r="I19" s="347" t="n"/>
      <c r="J19" s="347" t="n"/>
      <c r="K19" s="347" t="n"/>
      <c r="L19" s="347" t="n"/>
      <c r="M19" s="1197">
        <f>C19-D19-F19-H19</f>
        <v/>
      </c>
      <c r="N19" s="1102">
        <f>M19*0.5/100</f>
        <v/>
      </c>
    </row>
    <row r="20" ht="18.75" customFormat="1" customHeight="1" s="1">
      <c r="A20" s="371" t="inlineStr">
        <is>
          <t>B/0601</t>
        </is>
      </c>
      <c r="B20" s="351" t="inlineStr">
        <is>
          <t>B-601, Umeshkumar Hargovanbhai Kadiya</t>
        </is>
      </c>
      <c r="C20" s="1101" t="n">
        <v>1010615.7</v>
      </c>
      <c r="D20" s="347" t="n"/>
      <c r="E20" s="140">
        <f>+D20</f>
        <v/>
      </c>
      <c r="F20" s="347" t="n">
        <v>264963.7</v>
      </c>
      <c r="G20" s="347">
        <f>F20</f>
        <v/>
      </c>
      <c r="H20" s="347" t="n"/>
      <c r="I20" s="347" t="n"/>
      <c r="J20" s="347" t="n"/>
      <c r="K20" s="347" t="n"/>
      <c r="L20" s="347" t="n"/>
      <c r="M20" s="1197">
        <f>C20-D20-F20-H20</f>
        <v/>
      </c>
      <c r="N20" s="1102">
        <f>M20*0.5/100</f>
        <v/>
      </c>
    </row>
    <row r="21" ht="18.75" customFormat="1" customHeight="1" s="1">
      <c r="A21" s="371" t="inlineStr">
        <is>
          <t>C/0101</t>
        </is>
      </c>
      <c r="B21" s="351" t="inlineStr">
        <is>
          <t>C-101, Sangita Pankaj Sharma</t>
        </is>
      </c>
      <c r="C21" s="1101" t="n">
        <v>242535</v>
      </c>
      <c r="D21" s="347">
        <f>2500+25000</f>
        <v/>
      </c>
      <c r="E21" s="140">
        <f>+D21</f>
        <v/>
      </c>
      <c r="F21" s="347">
        <f>184310</f>
        <v/>
      </c>
      <c r="G21" s="347">
        <f>F21</f>
        <v/>
      </c>
      <c r="H21" s="347" t="n"/>
      <c r="I21" s="347" t="n"/>
      <c r="J21" s="347" t="n"/>
      <c r="K21" s="347" t="n"/>
      <c r="L21" s="347" t="n"/>
      <c r="M21" s="1197">
        <f>C21-D21-F21-H21</f>
        <v/>
      </c>
      <c r="N21" s="1102">
        <f>M21*0.5/100</f>
        <v/>
      </c>
    </row>
    <row r="22" ht="18.75" customFormat="1" customHeight="1" s="1">
      <c r="A22" s="371" t="inlineStr">
        <is>
          <t>C/0401</t>
        </is>
      </c>
      <c r="B22" s="351" t="inlineStr">
        <is>
          <t>C-401,Manoj Dayaram Khanchandani</t>
        </is>
      </c>
      <c r="C22" s="1101" t="n">
        <v>638164</v>
      </c>
      <c r="D22" s="1101" t="n"/>
      <c r="E22" s="140">
        <f>+D22</f>
        <v/>
      </c>
      <c r="F22" s="347" t="n"/>
      <c r="G22" s="347">
        <f>F22</f>
        <v/>
      </c>
      <c r="H22" s="347" t="n"/>
      <c r="I22" s="347" t="n"/>
      <c r="J22" s="347" t="n"/>
      <c r="K22" s="347" t="n"/>
      <c r="L22" s="347" t="n"/>
      <c r="M22" s="1197">
        <f>C22-D22-F22-H22</f>
        <v/>
      </c>
      <c r="N22" s="1102">
        <f>M22*0.5/100</f>
        <v/>
      </c>
    </row>
    <row r="23" ht="18.75" customFormat="1" customHeight="1" s="1">
      <c r="A23" s="371" t="inlineStr">
        <is>
          <t>C/0402</t>
        </is>
      </c>
      <c r="B23" s="351" t="inlineStr">
        <is>
          <t>C402,Mukeshkumar, Mamta</t>
        </is>
      </c>
      <c r="C23" s="1101" t="n">
        <v>236257.7</v>
      </c>
      <c r="D23" s="1101" t="n">
        <v>40968.85</v>
      </c>
      <c r="E23" s="140">
        <f>+D23</f>
        <v/>
      </c>
      <c r="F23" s="347" t="n">
        <v>195288.85</v>
      </c>
      <c r="G23" s="347">
        <f>F23</f>
        <v/>
      </c>
      <c r="H23" s="347" t="n"/>
      <c r="I23" s="347" t="n"/>
      <c r="J23" s="347" t="n"/>
      <c r="K23" s="347" t="n"/>
      <c r="L23" s="347" t="n"/>
      <c r="M23" s="1197">
        <f>C23-D23-F23-H23</f>
        <v/>
      </c>
      <c r="N23" s="1102">
        <f>M23*0.5/100</f>
        <v/>
      </c>
    </row>
    <row r="24" ht="18.75" customFormat="1" customHeight="1" s="1">
      <c r="A24" s="371" t="inlineStr">
        <is>
          <t>C/0403</t>
        </is>
      </c>
      <c r="B24" s="351" t="inlineStr">
        <is>
          <t>C-403,Ravi D.Labana &amp; Dashrathbhai P. Labana</t>
        </is>
      </c>
      <c r="C24" s="1101" t="n">
        <v>20792</v>
      </c>
      <c r="D24" s="1101" t="n"/>
      <c r="E24" s="140">
        <f>+D24</f>
        <v/>
      </c>
      <c r="F24" s="347" t="n"/>
      <c r="G24" s="347">
        <f>F24</f>
        <v/>
      </c>
      <c r="H24" s="347" t="n"/>
      <c r="I24" s="347" t="n"/>
      <c r="J24" s="347" t="n"/>
      <c r="K24" s="347" t="n"/>
      <c r="L24" s="347" t="n"/>
      <c r="M24" s="1197">
        <f>C24-D24-F24-H24</f>
        <v/>
      </c>
      <c r="N24" s="1102">
        <f>M24*0.5/100</f>
        <v/>
      </c>
    </row>
    <row r="25" ht="18.75" customFormat="1" customHeight="1" s="1">
      <c r="A25" s="371" t="inlineStr">
        <is>
          <t>C/0601</t>
        </is>
      </c>
      <c r="B25" s="351" t="inlineStr">
        <is>
          <t>C-601,Hiral DInesh Madhu /Manan K.Shah</t>
        </is>
      </c>
      <c r="C25" s="1103" t="n">
        <v>475248</v>
      </c>
      <c r="D25" s="347" t="n"/>
      <c r="E25" s="140">
        <f>+D25</f>
        <v/>
      </c>
      <c r="F25" s="347" t="n"/>
      <c r="G25" s="347">
        <f>F25</f>
        <v/>
      </c>
      <c r="H25" s="347" t="n"/>
      <c r="I25" s="347" t="n"/>
      <c r="J25" s="347" t="n"/>
      <c r="K25" s="347" t="n"/>
      <c r="L25" s="347" t="n"/>
      <c r="M25" s="1197">
        <f>C25-D25-F25-H25</f>
        <v/>
      </c>
      <c r="N25" s="1102">
        <f>M25*0.5/100</f>
        <v/>
      </c>
    </row>
    <row r="26" ht="18.75" customFormat="1" customHeight="1" s="1">
      <c r="A26" s="371" t="inlineStr">
        <is>
          <t>C/0604</t>
        </is>
      </c>
      <c r="B26" s="351" t="inlineStr">
        <is>
          <t>C-604, Ganesh Mahto</t>
        </is>
      </c>
      <c r="C26" s="1103" t="n">
        <v>218940.7</v>
      </c>
      <c r="D26" s="1103" t="n">
        <v>218940.7</v>
      </c>
      <c r="E26" s="140">
        <f>+D26</f>
        <v/>
      </c>
      <c r="F26" s="347" t="n"/>
      <c r="G26" s="347">
        <f>F26</f>
        <v/>
      </c>
      <c r="H26" s="347" t="n"/>
      <c r="I26" s="347" t="n"/>
      <c r="J26" s="347" t="n"/>
      <c r="K26" s="347" t="n"/>
      <c r="L26" s="347" t="n"/>
      <c r="M26" s="1197">
        <f>C26-D26-F26-H26</f>
        <v/>
      </c>
      <c r="N26" s="1102">
        <f>M26*0.5/100</f>
        <v/>
      </c>
    </row>
    <row r="27" ht="18.75" customFormat="1" customHeight="1" s="1">
      <c r="A27" s="371" t="inlineStr">
        <is>
          <t>C/0704</t>
        </is>
      </c>
      <c r="B27" s="351" t="inlineStr">
        <is>
          <t>C704, Dhanjani Honey / Hemani Mayur Nileshbhai</t>
        </is>
      </c>
      <c r="C27" s="1103" t="n">
        <v>588388</v>
      </c>
      <c r="D27" s="347" t="n"/>
      <c r="E27" s="140">
        <f>+D27</f>
        <v/>
      </c>
      <c r="F27" s="347" t="n"/>
      <c r="G27" s="347">
        <f>F27</f>
        <v/>
      </c>
      <c r="H27" s="347" t="n"/>
      <c r="I27" s="347" t="n"/>
      <c r="J27" s="347" t="n"/>
      <c r="K27" s="347" t="n"/>
      <c r="L27" s="347" t="n"/>
      <c r="M27" s="1197">
        <f>C27-D27-F27-H27</f>
        <v/>
      </c>
      <c r="N27" s="1102">
        <f>M27*0.5/100</f>
        <v/>
      </c>
    </row>
    <row r="28" ht="18.75" customFormat="1" customHeight="1" s="1">
      <c r="A28" s="371" t="inlineStr">
        <is>
          <t>C/0803</t>
        </is>
      </c>
      <c r="B28" s="351" t="inlineStr">
        <is>
          <t>C-803, Bhargav Amrishbhai Ubhadiya</t>
        </is>
      </c>
      <c r="C28" s="1101" t="n">
        <v>495050</v>
      </c>
      <c r="D28" s="347" t="n"/>
      <c r="E28" s="140">
        <f>+D28</f>
        <v/>
      </c>
      <c r="F28" s="347" t="n"/>
      <c r="G28" s="347">
        <f>F28</f>
        <v/>
      </c>
      <c r="H28" s="347" t="n"/>
      <c r="I28" s="347" t="n"/>
      <c r="J28" s="347" t="n"/>
      <c r="K28" s="347" t="n"/>
      <c r="L28" s="347" t="n"/>
      <c r="M28" s="1197">
        <f>C28-D28-F28-H28</f>
        <v/>
      </c>
      <c r="N28" s="1102">
        <f>M28*0.5/100</f>
        <v/>
      </c>
    </row>
    <row r="29" ht="18.75" customFormat="1" customHeight="1" s="1">
      <c r="A29" s="371" t="inlineStr">
        <is>
          <t>C/0804</t>
        </is>
      </c>
      <c r="B29" s="351" t="inlineStr">
        <is>
          <t>C-804, Shilpi Neeraj Sharma, Neeraj Shamra</t>
        </is>
      </c>
      <c r="C29" s="1101" t="n">
        <v>27094.75</v>
      </c>
      <c r="D29" s="1101" t="n">
        <v>27094.75</v>
      </c>
      <c r="E29" s="140">
        <f>+D29</f>
        <v/>
      </c>
      <c r="F29" s="347" t="n"/>
      <c r="G29" s="347">
        <f>F29</f>
        <v/>
      </c>
      <c r="H29" s="347" t="n"/>
      <c r="I29" s="347" t="n"/>
      <c r="J29" s="347" t="n"/>
      <c r="K29" s="347" t="n"/>
      <c r="L29" s="347" t="n"/>
      <c r="M29" s="1197">
        <f>C29-D29-F29-H29</f>
        <v/>
      </c>
      <c r="N29" s="1102">
        <f>M29*0.5/100</f>
        <v/>
      </c>
    </row>
    <row r="30" ht="18.75" customFormat="1" customHeight="1" s="1">
      <c r="A30" s="371" t="inlineStr">
        <is>
          <t>C/0901</t>
        </is>
      </c>
      <c r="B30" s="351" t="inlineStr">
        <is>
          <t>C/901, Rajeshkumar Pandya</t>
        </is>
      </c>
      <c r="C30" s="1101" t="n">
        <v>490243</v>
      </c>
      <c r="D30" s="1101">
        <f>25000+42352</f>
        <v/>
      </c>
      <c r="E30" s="140">
        <f>+D30</f>
        <v/>
      </c>
      <c r="F30" s="347" t="n">
        <v>195277</v>
      </c>
      <c r="G30" s="347">
        <f>F30</f>
        <v/>
      </c>
      <c r="H30" s="347" t="n"/>
      <c r="I30" s="347" t="n">
        <v>113807</v>
      </c>
      <c r="J30" s="347" t="n"/>
      <c r="K30" s="347" t="n"/>
      <c r="L30" s="347" t="n"/>
      <c r="M30" s="1197">
        <f>C30-D30-F30-H30</f>
        <v/>
      </c>
      <c r="N30" s="1102">
        <f>M30*0.5/100</f>
        <v/>
      </c>
    </row>
    <row r="31" ht="18.75" customFormat="1" customHeight="1" s="1">
      <c r="A31" s="371" t="inlineStr">
        <is>
          <t>C/1003</t>
        </is>
      </c>
      <c r="B31" s="351" t="inlineStr">
        <is>
          <t>C-1003,Kanika J.Mahadevwala</t>
        </is>
      </c>
      <c r="C31" s="347" t="n">
        <v>35174.75</v>
      </c>
      <c r="D31" s="347" t="n">
        <v>35174.75</v>
      </c>
      <c r="E31" s="140">
        <f>+D31</f>
        <v/>
      </c>
      <c r="F31" s="347" t="n"/>
      <c r="G31" s="347">
        <f>F31</f>
        <v/>
      </c>
      <c r="H31" s="347" t="n"/>
      <c r="I31" s="347" t="n"/>
      <c r="J31" s="347" t="n"/>
      <c r="K31" s="347" t="n"/>
      <c r="L31" s="347" t="n"/>
      <c r="M31" s="1197">
        <f>C31-D31-F31-H31</f>
        <v/>
      </c>
      <c r="N31" s="1102">
        <f>M31*0.5/100</f>
        <v/>
      </c>
    </row>
    <row r="32" ht="18.75" customFormat="1" customHeight="1" s="1">
      <c r="A32" s="371" t="inlineStr">
        <is>
          <t>C/1101</t>
        </is>
      </c>
      <c r="B32" s="351" t="inlineStr">
        <is>
          <t>C-1101, Harikrishna Madhu</t>
        </is>
      </c>
      <c r="C32" s="347" t="n">
        <v>222092.7</v>
      </c>
      <c r="D32" s="347" t="n">
        <v>222092.7</v>
      </c>
      <c r="E32" s="140">
        <f>+D32</f>
        <v/>
      </c>
      <c r="F32" s="347" t="n"/>
      <c r="G32" s="347">
        <f>F32</f>
        <v/>
      </c>
      <c r="H32" s="347" t="n"/>
      <c r="I32" s="347" t="n"/>
      <c r="J32" s="347" t="n"/>
      <c r="K32" s="347" t="n"/>
      <c r="L32" s="347" t="n"/>
      <c r="M32" s="1197">
        <f>C32-D32-F32-H32</f>
        <v/>
      </c>
      <c r="N32" s="1102">
        <f>M32*0.5/100</f>
        <v/>
      </c>
    </row>
    <row r="33" ht="18.75" customFormat="1" customHeight="1" s="1">
      <c r="A33" s="371" t="inlineStr">
        <is>
          <t>C/1302</t>
        </is>
      </c>
      <c r="B33" s="351" t="inlineStr">
        <is>
          <t>C-1302, Ishita Purohit</t>
        </is>
      </c>
      <c r="C33" s="347" t="n">
        <v>579208</v>
      </c>
      <c r="D33" s="347" t="n"/>
      <c r="E33" s="140">
        <f>+D33</f>
        <v/>
      </c>
      <c r="F33" s="347" t="n"/>
      <c r="G33" s="347">
        <f>F33</f>
        <v/>
      </c>
      <c r="H33" s="347" t="n"/>
      <c r="I33" s="347" t="n"/>
      <c r="J33" s="347" t="n"/>
      <c r="K33" s="347" t="n"/>
      <c r="L33" s="347" t="n"/>
      <c r="M33" s="1197">
        <f>C33-D33-F33-H33</f>
        <v/>
      </c>
      <c r="N33" s="1102">
        <f>M33*0.5/100</f>
        <v/>
      </c>
    </row>
    <row r="34" ht="18.75" customFormat="1" customHeight="1" s="1">
      <c r="A34" s="371" t="inlineStr">
        <is>
          <t>C/1403</t>
        </is>
      </c>
      <c r="B34" s="351" t="inlineStr">
        <is>
          <t>C-1403, Rekhaben Hiteshkumar Agrawal</t>
        </is>
      </c>
      <c r="C34" s="347" t="n">
        <v>184377.7</v>
      </c>
      <c r="D34" s="347" t="n">
        <v>184377.7</v>
      </c>
      <c r="E34" s="140">
        <f>+D34</f>
        <v/>
      </c>
      <c r="F34" s="347" t="n"/>
      <c r="G34" s="347">
        <f>F34</f>
        <v/>
      </c>
      <c r="H34" s="347" t="n"/>
      <c r="I34" s="347" t="n"/>
      <c r="J34" s="347" t="n"/>
      <c r="K34" s="347" t="n"/>
      <c r="L34" s="347" t="n"/>
      <c r="M34" s="1197">
        <f>C34-D34-F34-H34</f>
        <v/>
      </c>
      <c r="N34" s="1102">
        <f>M34*0.5/100</f>
        <v/>
      </c>
    </row>
    <row r="35" ht="18.75" customFormat="1" customHeight="1" s="1">
      <c r="A35" s="371" t="inlineStr">
        <is>
          <t>D/0301</t>
        </is>
      </c>
      <c r="B35" s="351" t="inlineStr">
        <is>
          <t>D-301, Arunkumar Kamat &amp; Puja Kumari</t>
        </is>
      </c>
      <c r="C35" s="347" t="n">
        <v>241183.7</v>
      </c>
      <c r="D35" s="347" t="n">
        <v>241183.7</v>
      </c>
      <c r="E35" s="140">
        <f>+D35</f>
        <v/>
      </c>
      <c r="F35" s="347" t="n"/>
      <c r="G35" s="347">
        <f>F35</f>
        <v/>
      </c>
      <c r="H35" s="347" t="n"/>
      <c r="I35" s="347" t="n"/>
      <c r="J35" s="347" t="n"/>
      <c r="K35" s="347" t="n"/>
      <c r="L35" s="347" t="n"/>
      <c r="M35" s="1197">
        <f>C35-D35-F35-H35</f>
        <v/>
      </c>
      <c r="N35" s="1102">
        <f>M35*0.5/100</f>
        <v/>
      </c>
    </row>
    <row r="36" ht="18.75" customFormat="1" customHeight="1" s="1">
      <c r="A36" s="371" t="inlineStr">
        <is>
          <t>D/0302</t>
        </is>
      </c>
      <c r="B36" s="351" t="inlineStr">
        <is>
          <t>D-302,Ashokkumar Kamat</t>
        </is>
      </c>
      <c r="C36" s="347" t="n">
        <v>235141.7</v>
      </c>
      <c r="D36" s="347" t="n">
        <v>40778.85</v>
      </c>
      <c r="E36" s="140">
        <f>+D36</f>
        <v/>
      </c>
      <c r="F36" s="347" t="n">
        <v>194362.85</v>
      </c>
      <c r="G36" s="347">
        <f>F36</f>
        <v/>
      </c>
      <c r="H36" s="347" t="n"/>
      <c r="I36" s="347" t="n"/>
      <c r="J36" s="347" t="n"/>
      <c r="K36" s="347" t="n"/>
      <c r="L36" s="347" t="n"/>
      <c r="M36" s="1197">
        <f>C36-D36-F36-H36</f>
        <v/>
      </c>
      <c r="N36" s="1102">
        <f>M36*0.5/100</f>
        <v/>
      </c>
    </row>
    <row r="37" ht="18.75" customFormat="1" customHeight="1" s="1">
      <c r="A37" s="371" t="inlineStr">
        <is>
          <t>D/0303</t>
        </is>
      </c>
      <c r="B37" s="351" t="inlineStr">
        <is>
          <t>D-303, Sanjaykumar R. Patel &amp; Sunitaben S.Patel</t>
        </is>
      </c>
      <c r="C37" s="347" t="n">
        <v>2189128.7</v>
      </c>
      <c r="D37" s="347">
        <f>169955.7+31116</f>
        <v/>
      </c>
      <c r="E37" s="140">
        <f>+D37</f>
        <v/>
      </c>
      <c r="F37" s="347" t="n">
        <v>140216</v>
      </c>
      <c r="G37" s="347">
        <f>F37</f>
        <v/>
      </c>
      <c r="H37" s="347" t="n"/>
      <c r="I37" s="347" t="n">
        <v>613901</v>
      </c>
      <c r="J37" s="347" t="n"/>
      <c r="K37" s="347" t="n"/>
      <c r="L37" s="347" t="n"/>
      <c r="M37" s="1197">
        <f>C37-D37-F37-H37</f>
        <v/>
      </c>
      <c r="N37" s="1102">
        <f>M37*0.5/100</f>
        <v/>
      </c>
    </row>
    <row r="38" ht="18.75" customFormat="1" customHeight="1" s="1">
      <c r="A38" s="371" t="inlineStr">
        <is>
          <t>D/0304</t>
        </is>
      </c>
      <c r="B38" s="351" t="inlineStr">
        <is>
          <t>D-304, Anju Barua</t>
        </is>
      </c>
      <c r="C38" s="347" t="n">
        <v>1014.75</v>
      </c>
      <c r="D38" s="347" t="n">
        <v>1014.75</v>
      </c>
      <c r="E38" s="140">
        <f>+D38</f>
        <v/>
      </c>
      <c r="F38" s="347" t="n"/>
      <c r="G38" s="347">
        <f>F38</f>
        <v/>
      </c>
      <c r="H38" s="347" t="n"/>
      <c r="I38" s="347" t="n"/>
      <c r="J38" s="347" t="n"/>
      <c r="K38" s="347" t="n"/>
      <c r="L38" s="347" t="n"/>
      <c r="M38" s="1197">
        <f>C38-D38-F38-H38</f>
        <v/>
      </c>
      <c r="N38" s="1102">
        <f>M38*0.5/100</f>
        <v/>
      </c>
    </row>
    <row r="39" ht="18.75" customFormat="1" customHeight="1" s="1">
      <c r="A39" s="371" t="inlineStr">
        <is>
          <t>D/0402</t>
        </is>
      </c>
      <c r="B39" s="351" t="inlineStr">
        <is>
          <t>D-402, Dharmendra Kumar</t>
        </is>
      </c>
      <c r="C39" s="347" t="n">
        <v>204465.7</v>
      </c>
      <c r="D39" s="347" t="n">
        <v>35578.85</v>
      </c>
      <c r="E39" s="140">
        <f>+D39</f>
        <v/>
      </c>
      <c r="F39" s="347" t="n">
        <v>168886.85</v>
      </c>
      <c r="G39" s="347">
        <f>F39</f>
        <v/>
      </c>
      <c r="H39" s="347" t="n"/>
      <c r="I39" s="347" t="n"/>
      <c r="J39" s="347" t="n"/>
      <c r="K39" s="347" t="n"/>
      <c r="L39" s="347" t="n"/>
      <c r="M39" s="1197">
        <f>C39-D39-F39-H39</f>
        <v/>
      </c>
      <c r="N39" s="1102">
        <f>M39*0.5/100</f>
        <v/>
      </c>
    </row>
    <row r="40" ht="18.75" customFormat="1" customHeight="1" s="1">
      <c r="A40" s="371" t="inlineStr">
        <is>
          <t>D/0501</t>
        </is>
      </c>
      <c r="B40" s="351" t="inlineStr">
        <is>
          <t>D/501-West Wing Infra.P.L. Kalpeshbhai</t>
        </is>
      </c>
      <c r="C40" s="347" t="n">
        <v>202543.7</v>
      </c>
      <c r="D40" s="347" t="n">
        <v>202543.7</v>
      </c>
      <c r="E40" s="140">
        <f>+D40</f>
        <v/>
      </c>
      <c r="F40" s="347" t="n"/>
      <c r="G40" s="347">
        <f>F40</f>
        <v/>
      </c>
      <c r="H40" s="347" t="n"/>
      <c r="I40" s="347" t="n"/>
      <c r="J40" s="347" t="n"/>
      <c r="K40" s="347" t="n"/>
      <c r="L40" s="347" t="n"/>
      <c r="M40" s="1197">
        <f>C40-D40-F40-H40</f>
        <v/>
      </c>
      <c r="N40" s="1102">
        <f>M40*0.5/100</f>
        <v/>
      </c>
    </row>
    <row r="41" ht="18.75" customFormat="1" customHeight="1" s="1">
      <c r="A41" s="371" t="inlineStr">
        <is>
          <t>D/0601</t>
        </is>
      </c>
      <c r="B41" s="351" t="inlineStr">
        <is>
          <t>D-601,-West Wing Infra. P.L. Neetaben Prajapati</t>
        </is>
      </c>
      <c r="C41" s="347" t="n">
        <v>204077.7</v>
      </c>
      <c r="D41" s="347" t="n">
        <v>204077.7</v>
      </c>
      <c r="E41" s="140">
        <f>+D41</f>
        <v/>
      </c>
      <c r="F41" s="347" t="n"/>
      <c r="G41" s="347">
        <f>F41</f>
        <v/>
      </c>
      <c r="H41" s="347" t="n"/>
      <c r="I41" s="347" t="n"/>
      <c r="J41" s="347" t="n"/>
      <c r="K41" s="347" t="n"/>
      <c r="L41" s="347" t="n"/>
      <c r="M41" s="1197">
        <f>C41-D41-F41-H41</f>
        <v/>
      </c>
      <c r="N41" s="1102">
        <f>M41*0.5/100</f>
        <v/>
      </c>
    </row>
    <row r="42" ht="18.75" customFormat="1" customHeight="1" s="1">
      <c r="A42" s="371" t="inlineStr">
        <is>
          <t>D-0602</t>
        </is>
      </c>
      <c r="B42" s="351" t="inlineStr">
        <is>
          <t>D-602, Meena Bohra</t>
        </is>
      </c>
      <c r="C42" s="347" t="n">
        <v>205370</v>
      </c>
      <c r="D42" s="347">
        <f>2500+25000</f>
        <v/>
      </c>
      <c r="E42" s="140">
        <f>+D42</f>
        <v/>
      </c>
      <c r="F42" s="347" t="n">
        <v>177870</v>
      </c>
      <c r="G42" s="347">
        <f>F42</f>
        <v/>
      </c>
      <c r="H42" s="347" t="n"/>
      <c r="I42" s="347" t="n"/>
      <c r="J42" s="347" t="n"/>
      <c r="K42" s="347" t="n"/>
      <c r="L42" s="347" t="n"/>
      <c r="M42" s="1197">
        <f>C42-D42-F42-H42</f>
        <v/>
      </c>
      <c r="N42" s="1102">
        <f>M42*0.5/100</f>
        <v/>
      </c>
    </row>
    <row r="43" ht="18.75" customFormat="1" customHeight="1" s="1">
      <c r="A43" s="371" t="inlineStr">
        <is>
          <t>D/0703</t>
        </is>
      </c>
      <c r="B43" s="351" t="inlineStr">
        <is>
          <t>D-703, Harsh P. Bhatt &amp; Vrushti H. Bhatt</t>
        </is>
      </c>
      <c r="C43" s="347" t="n"/>
      <c r="D43" s="347" t="n"/>
      <c r="E43" s="140">
        <f>+D43</f>
        <v/>
      </c>
      <c r="F43" s="347" t="n"/>
      <c r="G43" s="347">
        <f>F43</f>
        <v/>
      </c>
      <c r="H43" s="347" t="n"/>
      <c r="I43" s="347" t="n"/>
      <c r="J43" s="347" t="n"/>
      <c r="K43" s="347" t="n"/>
      <c r="L43" s="347" t="n"/>
      <c r="M43" s="1197">
        <f>C43-D43-F43-H43</f>
        <v/>
      </c>
      <c r="N43" s="1102">
        <f>M43*0.5/100</f>
        <v/>
      </c>
    </row>
    <row r="44" ht="18.75" customFormat="1" customHeight="1" s="1">
      <c r="A44" s="371" t="inlineStr">
        <is>
          <t>D/0902</t>
        </is>
      </c>
      <c r="B44" s="351" t="inlineStr">
        <is>
          <t>D-902, Jigna Thakkar, Jigarbhai B. Thakkar</t>
        </is>
      </c>
      <c r="C44" s="347" t="n">
        <v>409900</v>
      </c>
      <c r="D44" s="347" t="n"/>
      <c r="E44" s="140">
        <f>+D44</f>
        <v/>
      </c>
      <c r="F44" s="347" t="n"/>
      <c r="G44" s="347">
        <f>F44</f>
        <v/>
      </c>
      <c r="H44" s="347" t="n"/>
      <c r="I44" s="347" t="n"/>
      <c r="J44" s="347" t="n"/>
      <c r="K44" s="347" t="n"/>
      <c r="L44" s="347" t="n"/>
      <c r="M44" s="1197">
        <f>C44-D44-F44-H44</f>
        <v/>
      </c>
      <c r="N44" s="1102">
        <f>M44*0.5/100</f>
        <v/>
      </c>
    </row>
    <row r="45" ht="18.75" customFormat="1" customHeight="1" s="1">
      <c r="A45" s="371" t="inlineStr">
        <is>
          <t>E/0403</t>
        </is>
      </c>
      <c r="B45" s="351" t="inlineStr">
        <is>
          <t>E/403 Mohini J. Patel</t>
        </is>
      </c>
      <c r="C45" s="347" t="n">
        <v>230411.7</v>
      </c>
      <c r="D45" s="347">
        <f>39978.85</f>
        <v/>
      </c>
      <c r="E45" s="140">
        <f>+D45</f>
        <v/>
      </c>
      <c r="F45" s="347" t="n">
        <v>190432.85</v>
      </c>
      <c r="G45" s="347">
        <f>F45</f>
        <v/>
      </c>
      <c r="H45" s="347" t="n"/>
      <c r="I45" s="347" t="n"/>
      <c r="J45" s="347" t="n"/>
      <c r="K45" s="347" t="n"/>
      <c r="L45" s="347" t="n"/>
      <c r="M45" s="1197">
        <f>C45-D45-F45-H45</f>
        <v/>
      </c>
      <c r="N45" s="1102">
        <f>M45*0.5/100</f>
        <v/>
      </c>
    </row>
    <row r="46" ht="18.75" customFormat="1" customHeight="1" s="1">
      <c r="A46" s="371" t="inlineStr">
        <is>
          <t>E/0502</t>
        </is>
      </c>
      <c r="B46" s="351" t="inlineStr">
        <is>
          <t>E-502, Roshni Jayeshbhai Thakkar</t>
        </is>
      </c>
      <c r="C46" s="347" t="n">
        <v>167697.7</v>
      </c>
      <c r="D46" s="347" t="n">
        <v>167697.7</v>
      </c>
      <c r="E46" s="140">
        <f>+D46</f>
        <v/>
      </c>
      <c r="F46" s="347" t="n"/>
      <c r="G46" s="347">
        <f>F46</f>
        <v/>
      </c>
      <c r="H46" s="347" t="n"/>
      <c r="I46" s="347" t="n"/>
      <c r="J46" s="347" t="n"/>
      <c r="K46" s="347" t="n"/>
      <c r="L46" s="347" t="n"/>
      <c r="M46" s="1197">
        <f>C46-D46-F46-H46</f>
        <v/>
      </c>
      <c r="N46" s="1102">
        <f>M46*0.5/100</f>
        <v/>
      </c>
    </row>
    <row r="47" ht="18.75" customFormat="1" customHeight="1" s="1">
      <c r="A47" s="371" t="inlineStr">
        <is>
          <t>E/0503</t>
        </is>
      </c>
      <c r="B47" s="351" t="inlineStr">
        <is>
          <t>E-503,Dharmeshkumar K.&amp; Nilam D.Mehta</t>
        </is>
      </c>
      <c r="C47" s="347" t="n"/>
      <c r="D47" s="347" t="n"/>
      <c r="E47" s="140">
        <f>+D47</f>
        <v/>
      </c>
      <c r="F47" s="347" t="n"/>
      <c r="G47" s="347">
        <f>F47</f>
        <v/>
      </c>
      <c r="H47" s="347" t="n"/>
      <c r="I47" s="347" t="n"/>
      <c r="J47" s="347" t="n"/>
      <c r="K47" s="347" t="n"/>
      <c r="L47" s="347" t="n"/>
      <c r="M47" s="1197">
        <f>C47-D47-F47-H47</f>
        <v/>
      </c>
      <c r="N47" s="1102">
        <f>M47*0.5/100</f>
        <v/>
      </c>
    </row>
    <row r="48" ht="18.75" customFormat="1" customHeight="1" s="1">
      <c r="A48" s="371" t="inlineStr">
        <is>
          <t>E/0601</t>
        </is>
      </c>
      <c r="B48" s="351" t="inlineStr">
        <is>
          <t>E-601, Priyanka Jain</t>
        </is>
      </c>
      <c r="C48" s="347" t="n">
        <v>632260</v>
      </c>
      <c r="D48" s="347">
        <f>2500</f>
        <v/>
      </c>
      <c r="E48" s="140">
        <f>+D48</f>
        <v/>
      </c>
      <c r="F48" s="347">
        <f>168163</f>
        <v/>
      </c>
      <c r="G48" s="347">
        <f>F48</f>
        <v/>
      </c>
      <c r="H48" s="347" t="n"/>
      <c r="I48" s="347" t="n"/>
      <c r="J48" s="347" t="n"/>
      <c r="K48" s="347" t="n"/>
      <c r="L48" s="347" t="n"/>
      <c r="M48" s="1197">
        <f>C48-D48-F48-H48</f>
        <v/>
      </c>
      <c r="N48" s="1102">
        <f>M48*0.5/100</f>
        <v/>
      </c>
    </row>
    <row r="49" ht="18.75" customFormat="1" customHeight="1" s="1">
      <c r="A49" s="371" t="inlineStr">
        <is>
          <t>E/0801</t>
        </is>
      </c>
      <c r="B49" s="351" t="inlineStr">
        <is>
          <t>E-801,Neetika Sharma / Deepak Sharma</t>
        </is>
      </c>
      <c r="C49" s="347" t="n">
        <v>513843</v>
      </c>
      <c r="D49" s="347" t="n"/>
      <c r="E49" s="140">
        <f>+D49</f>
        <v/>
      </c>
      <c r="F49" s="347" t="n"/>
      <c r="G49" s="347">
        <f>F49</f>
        <v/>
      </c>
      <c r="H49" s="347" t="n"/>
      <c r="I49" s="347" t="n"/>
      <c r="J49" s="347" t="n"/>
      <c r="K49" s="347" t="n"/>
      <c r="L49" s="347" t="n"/>
      <c r="M49" s="1197">
        <f>C49-D49-F49-H49</f>
        <v/>
      </c>
      <c r="N49" s="1102">
        <f>M49*0.5/100</f>
        <v/>
      </c>
    </row>
    <row r="50" ht="18.75" customFormat="1" customHeight="1" s="1">
      <c r="A50" s="371" t="inlineStr">
        <is>
          <t>E/0803</t>
        </is>
      </c>
      <c r="B50" s="351" t="inlineStr">
        <is>
          <t>E-803, Riddhi Kamlesh Prajapati</t>
        </is>
      </c>
      <c r="C50" s="347" t="n">
        <v>438739</v>
      </c>
      <c r="D50" s="347" t="n"/>
      <c r="E50" s="140">
        <f>+D50</f>
        <v/>
      </c>
      <c r="F50" s="347" t="n"/>
      <c r="G50" s="347">
        <f>F50</f>
        <v/>
      </c>
      <c r="H50" s="347" t="n"/>
      <c r="I50" s="347" t="n"/>
      <c r="J50" s="347" t="n"/>
      <c r="K50" s="347" t="n"/>
      <c r="L50" s="347" t="n"/>
      <c r="M50" s="1197">
        <f>C50-D50-F50-H50</f>
        <v/>
      </c>
      <c r="N50" s="1102">
        <f>M50*0.5/100</f>
        <v/>
      </c>
    </row>
    <row r="51" ht="18.75" customFormat="1" customHeight="1" s="1">
      <c r="A51" s="371" t="inlineStr">
        <is>
          <t>E/1202</t>
        </is>
      </c>
      <c r="B51" s="351" t="inlineStr">
        <is>
          <t>E-1202, Vinit Krishnakumar Shah</t>
        </is>
      </c>
      <c r="C51" s="347" t="n">
        <v>892792</v>
      </c>
      <c r="D51" s="347" t="n"/>
      <c r="E51" s="140">
        <f>+D51</f>
        <v/>
      </c>
      <c r="F51" s="347" t="n"/>
      <c r="G51" s="347">
        <f>F51</f>
        <v/>
      </c>
      <c r="H51" s="347" t="n"/>
      <c r="I51" s="347" t="n">
        <v>446396</v>
      </c>
      <c r="J51" s="347" t="n"/>
      <c r="K51" s="347" t="n"/>
      <c r="L51" s="347" t="n"/>
      <c r="M51" s="1197">
        <f>C51-D51-F51-H51</f>
        <v/>
      </c>
      <c r="N51" s="1102">
        <f>M51*0.5/100</f>
        <v/>
      </c>
    </row>
    <row r="52" ht="18.75" customFormat="1" customHeight="1" s="1">
      <c r="A52" s="371" t="inlineStr">
        <is>
          <t>E-1204</t>
        </is>
      </c>
      <c r="B52" s="351" t="inlineStr">
        <is>
          <t>E-1204, Jagrutiben Bipinkumar Chauhan</t>
        </is>
      </c>
      <c r="C52" s="347" t="n">
        <v>271277</v>
      </c>
      <c r="D52" s="347">
        <f>2500+25000</f>
        <v/>
      </c>
      <c r="E52" s="140">
        <f>+D52</f>
        <v/>
      </c>
      <c r="F52" s="347">
        <f>202799</f>
        <v/>
      </c>
      <c r="G52" s="347">
        <f>F52</f>
        <v/>
      </c>
      <c r="H52" s="347" t="n"/>
      <c r="I52" s="347" t="n"/>
      <c r="J52" s="347" t="n"/>
      <c r="K52" s="347" t="n"/>
      <c r="L52" s="347" t="n"/>
      <c r="M52" s="1197">
        <f>C52-D52-F52-H52</f>
        <v/>
      </c>
      <c r="N52" s="1102">
        <f>M52*0.5/100</f>
        <v/>
      </c>
    </row>
    <row r="53" ht="18.75" customFormat="1" customHeight="1" s="1">
      <c r="A53" s="371" t="inlineStr">
        <is>
          <t>E/1301</t>
        </is>
      </c>
      <c r="B53" s="351" t="inlineStr">
        <is>
          <t>E-1301,Anjanadevi Labana</t>
        </is>
      </c>
      <c r="C53" s="347" t="n">
        <v>423746.7</v>
      </c>
      <c r="D53" s="347">
        <f>25000+2500+1108.85</f>
        <v/>
      </c>
      <c r="E53" s="140">
        <f>+D53</f>
        <v/>
      </c>
      <c r="F53" s="347">
        <f>179434+179446.85</f>
        <v/>
      </c>
      <c r="G53" s="347">
        <f>F53</f>
        <v/>
      </c>
      <c r="H53" s="347" t="n"/>
      <c r="I53" s="347" t="n">
        <v>36257</v>
      </c>
      <c r="J53" s="347" t="n"/>
      <c r="K53" s="347" t="n"/>
      <c r="L53" s="347" t="n"/>
      <c r="M53" s="1197">
        <f>C53-D53-F53-H53</f>
        <v/>
      </c>
      <c r="N53" s="1102">
        <f>M53*0.5/100</f>
        <v/>
      </c>
    </row>
    <row r="54" ht="18.75" customFormat="1" customHeight="1" s="1">
      <c r="A54" s="371" t="inlineStr">
        <is>
          <t>E/1302</t>
        </is>
      </c>
      <c r="B54" s="351" t="inlineStr">
        <is>
          <t>E-1302, Ram Janki Sureshbhai</t>
        </is>
      </c>
      <c r="C54" s="347" t="n">
        <v>1273836.7</v>
      </c>
      <c r="D54" s="347">
        <f>1108.85</f>
        <v/>
      </c>
      <c r="E54" s="140">
        <f>+D54</f>
        <v/>
      </c>
      <c r="F54" s="347">
        <f>203525.85</f>
        <v/>
      </c>
      <c r="G54" s="347">
        <f>F54</f>
        <v/>
      </c>
      <c r="H54" s="347" t="n"/>
      <c r="I54" s="347" t="n"/>
      <c r="J54" s="347" t="n"/>
      <c r="K54" s="347" t="n"/>
      <c r="L54" s="347" t="n"/>
      <c r="M54" s="1197">
        <f>C54-D54-F54-H54</f>
        <v/>
      </c>
      <c r="N54" s="1102">
        <f>M54*0.5/100</f>
        <v/>
      </c>
    </row>
    <row r="55" ht="18.75" customFormat="1" customHeight="1" s="1">
      <c r="A55" s="371" t="inlineStr">
        <is>
          <t>E/1304</t>
        </is>
      </c>
      <c r="B55" s="351" t="inlineStr">
        <is>
          <t>E-1304, Shilpa Devi W/o Vishnukumar Labana</t>
        </is>
      </c>
      <c r="C55" s="347" t="n">
        <v>383960</v>
      </c>
      <c r="D55" s="442" t="n"/>
      <c r="E55" s="140">
        <f>+D55</f>
        <v/>
      </c>
      <c r="F55" s="347" t="n"/>
      <c r="G55" s="347">
        <f>F55</f>
        <v/>
      </c>
      <c r="H55" s="347" t="n"/>
      <c r="I55" s="347" t="n"/>
      <c r="J55" s="347" t="n"/>
      <c r="K55" s="347" t="n"/>
      <c r="L55" s="347" t="n"/>
      <c r="M55" s="1197">
        <f>C55-D55-F55-H55</f>
        <v/>
      </c>
      <c r="N55" s="1102">
        <f>M55*0.5/100</f>
        <v/>
      </c>
    </row>
    <row r="56" ht="18.75" customFormat="1" customHeight="1" s="1">
      <c r="A56" s="371" t="inlineStr">
        <is>
          <t>F/0102</t>
        </is>
      </c>
      <c r="B56" s="351" t="inlineStr">
        <is>
          <t>F-102, Akta Viral Mehta (Akta Ajmera)</t>
        </is>
      </c>
      <c r="C56" s="347" t="n">
        <v>152700</v>
      </c>
      <c r="D56" s="442" t="n"/>
      <c r="E56" s="140">
        <f>+D56</f>
        <v/>
      </c>
      <c r="F56" s="347" t="n"/>
      <c r="G56" s="347">
        <f>F56</f>
        <v/>
      </c>
      <c r="H56" s="347" t="n"/>
      <c r="I56" s="347" t="n"/>
      <c r="J56" s="347" t="n"/>
      <c r="K56" s="347" t="n"/>
      <c r="L56" s="347" t="n"/>
      <c r="M56" s="1197">
        <f>C56-D56-F56-H56</f>
        <v/>
      </c>
      <c r="N56" s="1102">
        <f>M56*0.5/100</f>
        <v/>
      </c>
    </row>
    <row r="57" ht="18.75" customFormat="1" customHeight="1" s="1">
      <c r="A57" s="371" t="inlineStr">
        <is>
          <t>F/0202</t>
        </is>
      </c>
      <c r="B57" s="351" t="inlineStr">
        <is>
          <t>F-202,Ami Kameshkumar Sheth</t>
        </is>
      </c>
      <c r="C57" s="347" t="n">
        <v>241596.7</v>
      </c>
      <c r="D57" s="347" t="n">
        <v>241596.7</v>
      </c>
      <c r="E57" s="140">
        <f>+D57</f>
        <v/>
      </c>
      <c r="F57" s="347" t="n"/>
      <c r="G57" s="347">
        <f>F57</f>
        <v/>
      </c>
      <c r="H57" s="347" t="n"/>
      <c r="I57" s="347" t="n"/>
      <c r="J57" s="347" t="n"/>
      <c r="K57" s="347" t="n"/>
      <c r="L57" s="347" t="n"/>
      <c r="M57" s="1197">
        <f>C57-D57-F57-H57</f>
        <v/>
      </c>
      <c r="N57" s="1102">
        <f>M57*0.5/100</f>
        <v/>
      </c>
    </row>
    <row r="58" ht="18.75" customFormat="1" customHeight="1" s="1">
      <c r="A58" s="371" t="inlineStr">
        <is>
          <t>F/0301</t>
        </is>
      </c>
      <c r="B58" s="351" t="inlineStr">
        <is>
          <t>F/301, Sureshbhai C. Kanani</t>
        </is>
      </c>
      <c r="C58" s="347" t="n">
        <v>269045.7</v>
      </c>
      <c r="D58" s="442">
        <f>233385.7</f>
        <v/>
      </c>
      <c r="E58" s="140">
        <f>+D58</f>
        <v/>
      </c>
      <c r="F58" s="347" t="n"/>
      <c r="G58" s="347">
        <f>F58</f>
        <v/>
      </c>
      <c r="H58" s="347" t="n"/>
      <c r="I58" s="347" t="n"/>
      <c r="J58" s="347" t="n"/>
      <c r="K58" s="347" t="n"/>
      <c r="L58" s="347" t="n"/>
      <c r="M58" s="1197">
        <f>C58-D58-F58-H58</f>
        <v/>
      </c>
      <c r="N58" s="1102">
        <f>M58*0.5/100</f>
        <v/>
      </c>
    </row>
    <row r="59" ht="18.75" customFormat="1" customHeight="1" s="1">
      <c r="A59" s="371" t="inlineStr">
        <is>
          <t>F/0302</t>
        </is>
      </c>
      <c r="B59" s="351" t="inlineStr">
        <is>
          <t>F-302, Dipika Bhavin Parrmar</t>
        </is>
      </c>
      <c r="C59" s="347" t="n">
        <v>298338</v>
      </c>
      <c r="D59" s="442">
        <f>25000+25000</f>
        <v/>
      </c>
      <c r="E59" s="140" t="n">
        <v>25000</v>
      </c>
      <c r="F59" s="347" t="n">
        <v>211511</v>
      </c>
      <c r="G59" s="347">
        <f>F59</f>
        <v/>
      </c>
      <c r="H59" s="347" t="n"/>
      <c r="I59" s="347" t="n">
        <v>36827</v>
      </c>
      <c r="J59" s="347" t="n"/>
      <c r="K59" s="347" t="n"/>
      <c r="L59" s="347" t="n"/>
      <c r="M59" s="1197">
        <f>C59-D59-F59-H59</f>
        <v/>
      </c>
      <c r="N59" s="1102">
        <f>M59*0.5/100</f>
        <v/>
      </c>
    </row>
    <row r="60" ht="18.75" customFormat="1" customHeight="1" s="1">
      <c r="A60" s="371" t="inlineStr">
        <is>
          <t>F/0304</t>
        </is>
      </c>
      <c r="B60" s="351" t="inlineStr">
        <is>
          <t>F/304 Monali H. Soni</t>
        </is>
      </c>
      <c r="C60" s="347" t="n">
        <v>1248369.7</v>
      </c>
      <c r="D60" s="442">
        <f>2500+25000+1108.85</f>
        <v/>
      </c>
      <c r="E60" s="140">
        <f>+D60</f>
        <v/>
      </c>
      <c r="F60" s="347">
        <f>171292+171302.85</f>
        <v/>
      </c>
      <c r="G60" s="347">
        <f>F60</f>
        <v/>
      </c>
      <c r="H60" s="347" t="n"/>
      <c r="I60" s="347" t="n"/>
      <c r="J60" s="347" t="n"/>
      <c r="K60" s="347" t="n"/>
      <c r="L60" s="347" t="n"/>
      <c r="M60" s="1197">
        <f>C60-D60-F60-H60</f>
        <v/>
      </c>
      <c r="N60" s="1102">
        <f>M60*0.5/100</f>
        <v/>
      </c>
    </row>
    <row r="61" ht="18.75" customFormat="1" customHeight="1" s="1">
      <c r="A61" s="371" t="inlineStr">
        <is>
          <t>F/0402</t>
        </is>
      </c>
      <c r="B61" s="351" t="inlineStr">
        <is>
          <t>F-402, Ashok Kumar Mehta (Padmavati Sales Agency)</t>
        </is>
      </c>
      <c r="C61" s="347" t="n">
        <v>241670</v>
      </c>
      <c r="D61" s="442">
        <f>25000+38800</f>
        <v/>
      </c>
      <c r="E61" s="140">
        <f>+D61</f>
        <v/>
      </c>
      <c r="F61" s="1197">
        <f>177870</f>
        <v/>
      </c>
      <c r="G61" s="1197">
        <f>+F61</f>
        <v/>
      </c>
      <c r="H61" s="1197" t="n"/>
      <c r="I61" s="1197" t="n"/>
      <c r="J61" s="1006" t="n"/>
      <c r="K61" s="1006" t="n"/>
      <c r="L61" s="1197" t="n"/>
      <c r="M61" s="1197">
        <f>C61-D61-F61-H61</f>
        <v/>
      </c>
      <c r="N61" s="1102">
        <f>M61*0.5/100</f>
        <v/>
      </c>
    </row>
    <row r="62" ht="18.75" customFormat="1" customHeight="1" s="1">
      <c r="A62" s="351" t="inlineStr">
        <is>
          <t>F/0502</t>
        </is>
      </c>
      <c r="B62" s="351" t="inlineStr">
        <is>
          <t>F-502, Priyank Jain</t>
        </is>
      </c>
      <c r="C62" s="1101" t="n">
        <v>774603.7</v>
      </c>
      <c r="D62" s="1197">
        <f>221693.7</f>
        <v/>
      </c>
      <c r="E62" s="140">
        <f>+D62</f>
        <v/>
      </c>
      <c r="F62" s="1197" t="n"/>
      <c r="G62" s="1197" t="n"/>
      <c r="H62" s="1197" t="n"/>
      <c r="I62" s="1197" t="n"/>
      <c r="J62" s="1006" t="n"/>
      <c r="K62" s="1006" t="n"/>
      <c r="L62" s="1197" t="n"/>
      <c r="M62" s="1197">
        <f>C62-D62-F62-H62</f>
        <v/>
      </c>
      <c r="N62" s="1102">
        <f>M62*0.5/100</f>
        <v/>
      </c>
    </row>
    <row r="63" ht="18.75" customFormat="1" customHeight="1" s="1">
      <c r="A63" s="351" t="inlineStr">
        <is>
          <t>F/0504</t>
        </is>
      </c>
      <c r="B63" s="351" t="inlineStr">
        <is>
          <t>F-504, Yashvi Sarav &amp; Sarav Harshadrai Parekh</t>
        </is>
      </c>
      <c r="C63" s="1101" t="n">
        <v>137702</v>
      </c>
      <c r="D63" s="1197" t="n"/>
      <c r="E63" s="140">
        <f>+D63</f>
        <v/>
      </c>
      <c r="F63" s="1197" t="n"/>
      <c r="G63" s="1197">
        <f>F63</f>
        <v/>
      </c>
      <c r="H63" s="1197" t="n"/>
      <c r="I63" s="1197" t="n"/>
      <c r="J63" s="1006" t="n"/>
      <c r="K63" s="1006" t="n"/>
      <c r="L63" s="1197" t="n"/>
      <c r="M63" s="1197">
        <f>C63-D63-F63-H63</f>
        <v/>
      </c>
      <c r="N63" s="1102">
        <f>M63*0.5/100</f>
        <v/>
      </c>
    </row>
    <row r="64" ht="18.75" customFormat="1" customHeight="1" s="1">
      <c r="A64" s="351" t="inlineStr">
        <is>
          <t>F/0904</t>
        </is>
      </c>
      <c r="B64" s="351" t="inlineStr">
        <is>
          <t>F/904,Gitaben Kantesariya, Mitkumar Kantesariya</t>
        </is>
      </c>
      <c r="C64" s="1101" t="n">
        <v>197705.7</v>
      </c>
      <c r="D64" s="1101" t="n">
        <v>1108.85</v>
      </c>
      <c r="E64" s="140">
        <f>+D64</f>
        <v/>
      </c>
      <c r="F64" s="1197" t="n">
        <v>196596.85</v>
      </c>
      <c r="G64" s="1197">
        <f>F64</f>
        <v/>
      </c>
      <c r="H64" s="1197" t="n"/>
      <c r="I64" s="1197" t="n"/>
      <c r="J64" s="1006" t="n"/>
      <c r="K64" s="1006" t="n"/>
      <c r="L64" s="1197" t="n"/>
      <c r="M64" s="1197">
        <f>C64-D64-F64-H64</f>
        <v/>
      </c>
      <c r="N64" s="1102">
        <f>M64*0.5/100</f>
        <v/>
      </c>
    </row>
    <row r="65" ht="18.75" customFormat="1" customHeight="1" s="1">
      <c r="A65" s="351" t="inlineStr">
        <is>
          <t>F/1203</t>
        </is>
      </c>
      <c r="B65" s="351" t="inlineStr">
        <is>
          <t>F-1203, Taraben Rameshbhai Mewada</t>
        </is>
      </c>
      <c r="C65" s="1101" t="n">
        <v>1172294.7</v>
      </c>
      <c r="D65" s="1197" t="n">
        <v>201997.7</v>
      </c>
      <c r="E65" s="140">
        <f>+D65</f>
        <v/>
      </c>
      <c r="F65" s="1197" t="n"/>
      <c r="G65" s="1197" t="n"/>
      <c r="H65" s="1197" t="n"/>
      <c r="I65" s="1197" t="n"/>
      <c r="J65" s="1006" t="n"/>
      <c r="K65" s="1006" t="n"/>
      <c r="L65" s="1197" t="n"/>
      <c r="M65" s="1197">
        <f>C65-D65-F65-H65</f>
        <v/>
      </c>
      <c r="N65" s="1102">
        <f>M65*0.5/100</f>
        <v/>
      </c>
    </row>
    <row r="66" ht="18.75" customFormat="1" customHeight="1" s="1">
      <c r="A66" s="351" t="inlineStr">
        <is>
          <t>F/1301</t>
        </is>
      </c>
      <c r="B66" s="351" t="inlineStr">
        <is>
          <t>F/1301, Ruchita Hemal Modi</t>
        </is>
      </c>
      <c r="C66" s="1101" t="n">
        <v>195226.7</v>
      </c>
      <c r="D66" s="1197" t="n">
        <v>1108.85</v>
      </c>
      <c r="E66" s="140">
        <f>+D66</f>
        <v/>
      </c>
      <c r="F66" s="1197" t="n">
        <v>194117.85</v>
      </c>
      <c r="G66" s="1197">
        <f>+F66</f>
        <v/>
      </c>
      <c r="H66" s="1197" t="n"/>
      <c r="I66" s="1197" t="n"/>
      <c r="J66" s="1006" t="n"/>
      <c r="K66" s="1006" t="n"/>
      <c r="L66" s="1197" t="n"/>
      <c r="M66" s="1197">
        <f>C66-D66-F66-H66</f>
        <v/>
      </c>
      <c r="N66" s="1102">
        <f>M66*0.5/100</f>
        <v/>
      </c>
    </row>
    <row r="67" ht="18.75" customFormat="1" customHeight="1" s="1">
      <c r="A67" s="351" t="inlineStr">
        <is>
          <t>F/1303</t>
        </is>
      </c>
      <c r="B67" s="351" t="inlineStr">
        <is>
          <t>F-1303, Amanpreet Singh Sethi</t>
        </is>
      </c>
      <c r="C67" s="1101" t="n">
        <v>246174.7</v>
      </c>
      <c r="D67" s="1197" t="n">
        <v>246174.7</v>
      </c>
      <c r="E67" s="140">
        <f>+D67</f>
        <v/>
      </c>
      <c r="F67" s="1197" t="n"/>
      <c r="G67" s="1197">
        <f>+F67</f>
        <v/>
      </c>
      <c r="H67" s="1197" t="n"/>
      <c r="I67" s="1197" t="n"/>
      <c r="J67" s="1006" t="n"/>
      <c r="K67" s="1006" t="n"/>
      <c r="L67" s="1197" t="n"/>
      <c r="M67" s="1197">
        <f>C67-D67-F67-H67</f>
        <v/>
      </c>
      <c r="N67" s="1102">
        <f>M67*0.5/100</f>
        <v/>
      </c>
    </row>
    <row r="68" ht="18.75" customFormat="1" customHeight="1" s="1">
      <c r="A68" s="351" t="inlineStr">
        <is>
          <t>G/0101</t>
        </is>
      </c>
      <c r="B68" s="351" t="inlineStr">
        <is>
          <t>G/101,Kiran Kapure / Hemal Jadav ( CANCELLED)</t>
        </is>
      </c>
      <c r="C68" s="1101" t="n"/>
      <c r="D68" s="1101" t="n"/>
      <c r="E68" s="140">
        <f>+D68</f>
        <v/>
      </c>
      <c r="F68" s="1197" t="n"/>
      <c r="G68" s="1197">
        <f>+F68</f>
        <v/>
      </c>
      <c r="H68" s="1197" t="n"/>
      <c r="I68" s="1197" t="n"/>
      <c r="J68" s="1006" t="n"/>
      <c r="K68" s="1006" t="n"/>
      <c r="L68" s="1197" t="n"/>
      <c r="M68" s="1197">
        <f>C68-D68-F68-H68</f>
        <v/>
      </c>
      <c r="N68" s="1102">
        <f>M68*0.5/100</f>
        <v/>
      </c>
    </row>
    <row r="69" ht="18.75" customFormat="1" customHeight="1" s="1">
      <c r="A69" s="351" t="inlineStr">
        <is>
          <t>G/0101</t>
        </is>
      </c>
      <c r="B69" s="351" t="inlineStr">
        <is>
          <t>G/101, Paridhi Jain, Nitesh Jani</t>
        </is>
      </c>
      <c r="C69" s="1101" t="n">
        <v>788148.7</v>
      </c>
      <c r="D69" s="1101" t="n">
        <v>220456.7</v>
      </c>
      <c r="E69" s="140">
        <f>+D69</f>
        <v/>
      </c>
      <c r="F69" s="1197" t="n"/>
      <c r="G69" s="1197" t="n"/>
      <c r="H69" s="1197" t="n"/>
      <c r="I69" s="1197" t="n"/>
      <c r="J69" s="1006" t="n"/>
      <c r="K69" s="1006" t="n"/>
      <c r="L69" s="1197" t="n"/>
      <c r="M69" s="1197">
        <f>C69-D69-F69-H69</f>
        <v/>
      </c>
      <c r="N69" s="1102">
        <f>M69*0.5/100</f>
        <v/>
      </c>
    </row>
    <row r="70" ht="18.75" customFormat="1" customHeight="1" s="1">
      <c r="A70" s="351" t="inlineStr">
        <is>
          <t>G/0105</t>
        </is>
      </c>
      <c r="B70" s="351" t="inlineStr">
        <is>
          <t>G/105 Ruchin Mittal &amp; Siddharth Mittal</t>
        </is>
      </c>
      <c r="C70" s="1101" t="n">
        <v>510964.7</v>
      </c>
      <c r="D70" s="1101" t="n">
        <v>1108.85</v>
      </c>
      <c r="E70" s="140">
        <f>+D70</f>
        <v/>
      </c>
      <c r="F70" s="1197" t="n">
        <v>212825.85</v>
      </c>
      <c r="G70" s="1197">
        <f>+F70</f>
        <v/>
      </c>
      <c r="H70" s="1197" t="n"/>
      <c r="I70" s="347" t="n"/>
      <c r="J70" s="1006" t="n"/>
      <c r="K70" s="1006" t="n"/>
      <c r="L70" s="1197" t="n"/>
      <c r="M70" s="1197">
        <f>C70-D70-F70-H70</f>
        <v/>
      </c>
      <c r="N70" s="1102">
        <f>M70*0.5/100</f>
        <v/>
      </c>
    </row>
    <row r="71" ht="18.75" customFormat="1" customHeight="1" s="1">
      <c r="A71" s="351" t="inlineStr">
        <is>
          <t>G/0205</t>
        </is>
      </c>
      <c r="B71" s="351" t="inlineStr">
        <is>
          <t>G-205, Alpeshkumar Prabhashankar Joshi</t>
        </is>
      </c>
      <c r="C71" s="1101" t="n">
        <v>257426</v>
      </c>
      <c r="D71" s="1101" t="n"/>
      <c r="E71" s="140">
        <f>+D71</f>
        <v/>
      </c>
      <c r="F71" s="1197" t="n"/>
      <c r="G71" s="1197">
        <f>+F71</f>
        <v/>
      </c>
      <c r="H71" s="1197" t="n"/>
      <c r="I71" s="347" t="n"/>
      <c r="J71" s="1006" t="n"/>
      <c r="K71" s="1006" t="n"/>
      <c r="L71" s="1197" t="n"/>
      <c r="M71" s="1197">
        <f>C71-D71-F71-H71</f>
        <v/>
      </c>
      <c r="N71" s="1102">
        <f>M71*0.5/100</f>
        <v/>
      </c>
    </row>
    <row r="72" ht="18.75" customFormat="1" customHeight="1" s="1">
      <c r="A72" s="351" t="inlineStr">
        <is>
          <t>G/0303</t>
        </is>
      </c>
      <c r="B72" s="351" t="inlineStr">
        <is>
          <t>G-303, Kalpesh Dalpatbhai Gediya</t>
        </is>
      </c>
      <c r="C72" s="1101" t="n">
        <v>586899.7</v>
      </c>
      <c r="D72" s="1197" t="n">
        <v>231453.7</v>
      </c>
      <c r="E72" s="140">
        <f>+D72</f>
        <v/>
      </c>
      <c r="F72" s="1197" t="n"/>
      <c r="G72" s="1197" t="n"/>
      <c r="H72" s="1197" t="n"/>
      <c r="I72" s="347" t="n"/>
      <c r="J72" s="1006" t="n"/>
      <c r="K72" s="1006" t="n"/>
      <c r="L72" s="1197" t="n"/>
      <c r="M72" s="1197">
        <f>C72-D72-F72-H72</f>
        <v/>
      </c>
      <c r="N72" s="1102">
        <f>M72*0.5/100</f>
        <v/>
      </c>
    </row>
    <row r="73" ht="18.75" customFormat="1" customHeight="1" s="1">
      <c r="A73" s="351" t="inlineStr">
        <is>
          <t>G/0401</t>
        </is>
      </c>
      <c r="B73" s="351" t="inlineStr">
        <is>
          <t>G-401,Dhanki Malay Chandravadan</t>
        </is>
      </c>
      <c r="C73" s="1101" t="n">
        <v>631230.7</v>
      </c>
      <c r="D73" s="1197" t="n">
        <v>263057.7</v>
      </c>
      <c r="E73" s="140">
        <f>+D73</f>
        <v/>
      </c>
      <c r="F73" s="1197" t="n"/>
      <c r="G73" s="1197" t="n"/>
      <c r="H73" s="1197" t="n"/>
      <c r="I73" s="347" t="n"/>
      <c r="J73" s="1006" t="n"/>
      <c r="K73" s="1006" t="n"/>
      <c r="L73" s="1197" t="n"/>
      <c r="M73" s="1197">
        <f>C73-D73-F73-H73</f>
        <v/>
      </c>
      <c r="N73" s="1102">
        <f>M73*0.5/100</f>
        <v/>
      </c>
    </row>
    <row r="74" ht="18.75" customFormat="1" customHeight="1" s="1">
      <c r="A74" s="351" t="inlineStr">
        <is>
          <t>G/0402</t>
        </is>
      </c>
      <c r="B74" s="351" t="inlineStr">
        <is>
          <t>G/402, Manishaben Vijaykumar Sheth &amp; Jainam Sheth</t>
        </is>
      </c>
      <c r="C74" s="1101" t="n">
        <v>184896.7</v>
      </c>
      <c r="D74" s="1197" t="n">
        <v>1108.85</v>
      </c>
      <c r="E74" s="140">
        <f>+D74</f>
        <v/>
      </c>
      <c r="F74" s="1197" t="n">
        <v>183787.85</v>
      </c>
      <c r="G74" s="1197">
        <f>+F74</f>
        <v/>
      </c>
      <c r="H74" s="1197" t="n"/>
      <c r="I74" s="347" t="n"/>
      <c r="J74" s="1006" t="n"/>
      <c r="K74" s="1006" t="n"/>
      <c r="L74" s="1197" t="n"/>
      <c r="M74" s="1197">
        <f>C74-D74-F74-H74</f>
        <v/>
      </c>
      <c r="N74" s="1102">
        <f>M74*0.5/100</f>
        <v/>
      </c>
    </row>
    <row r="75" ht="18.75" customFormat="1" customHeight="1" s="1">
      <c r="A75" s="351" t="inlineStr">
        <is>
          <t>G/0502</t>
        </is>
      </c>
      <c r="B75" s="351" t="inlineStr">
        <is>
          <t>G-502,Brijesh Patel</t>
        </is>
      </c>
      <c r="C75" s="1101" t="n">
        <v>346534</v>
      </c>
      <c r="D75" s="1197" t="n"/>
      <c r="E75" s="140">
        <f>+D75</f>
        <v/>
      </c>
      <c r="F75" s="1197" t="n"/>
      <c r="G75" s="1197" t="n"/>
      <c r="H75" s="1197" t="n"/>
      <c r="I75" s="347" t="n"/>
      <c r="J75" s="1006" t="n"/>
      <c r="K75" s="1006" t="n"/>
      <c r="L75" s="1197" t="n"/>
      <c r="M75" s="1197">
        <f>C75-D75-F75-H75</f>
        <v/>
      </c>
      <c r="N75" s="1102">
        <f>M75*0.5/100</f>
        <v/>
      </c>
    </row>
    <row r="76" ht="18.75" customFormat="1" customHeight="1" s="1">
      <c r="A76" s="351" t="inlineStr">
        <is>
          <t>G/0602</t>
        </is>
      </c>
      <c r="B76" s="351" t="inlineStr">
        <is>
          <t>G/602,Harshadkumar G.Patel &amp; Avniben H. Patel</t>
        </is>
      </c>
      <c r="C76" s="1101" t="n">
        <v>208015.7</v>
      </c>
      <c r="D76" s="1101" t="n">
        <v>36178.85</v>
      </c>
      <c r="E76" s="140">
        <f>+D76</f>
        <v/>
      </c>
      <c r="F76" s="1197" t="n">
        <v>171836.85</v>
      </c>
      <c r="G76" s="1197">
        <f>+F76</f>
        <v/>
      </c>
      <c r="H76" s="1197" t="n"/>
      <c r="I76" s="347" t="n"/>
      <c r="J76" s="1006" t="n"/>
      <c r="K76" s="1006" t="n"/>
      <c r="L76" s="1197" t="n"/>
      <c r="M76" s="1197">
        <f>C76-D76-F76-H76</f>
        <v/>
      </c>
      <c r="N76" s="1102">
        <f>M76*0.5/100</f>
        <v/>
      </c>
    </row>
    <row r="77" ht="18.75" customFormat="1" customHeight="1" s="1">
      <c r="A77" s="351" t="inlineStr">
        <is>
          <t>G/1001</t>
        </is>
      </c>
      <c r="B77" s="351" t="inlineStr">
        <is>
          <t>G/1001, Alwani Bhavana Gurmukhdas &amp; Reshma Alwani</t>
        </is>
      </c>
      <c r="C77" s="1101" t="n">
        <v>178247.7</v>
      </c>
      <c r="D77" s="1197" t="n">
        <v>178247.7</v>
      </c>
      <c r="E77" s="140">
        <f>+D77</f>
        <v/>
      </c>
      <c r="F77" s="1197" t="n"/>
      <c r="G77" s="1197" t="n"/>
      <c r="H77" s="1197" t="n"/>
      <c r="I77" s="347" t="n"/>
      <c r="J77" s="1006" t="n"/>
      <c r="K77" s="1006" t="n"/>
      <c r="L77" s="1197" t="n"/>
      <c r="M77" s="1197">
        <f>C77-D77-F77-H77</f>
        <v/>
      </c>
      <c r="N77" s="1102">
        <f>M77*0.5/100</f>
        <v/>
      </c>
    </row>
    <row r="78" ht="18.75" customFormat="1" customHeight="1" s="1">
      <c r="A78" s="351" t="inlineStr">
        <is>
          <t>G/1205</t>
        </is>
      </c>
      <c r="B78" s="351" t="inlineStr">
        <is>
          <t>G-1205, Rohit Kamaljeetsingh Makhija</t>
        </is>
      </c>
      <c r="C78" s="1101" t="n">
        <v>714363.7</v>
      </c>
      <c r="D78" s="1101" t="n">
        <v>46038.85</v>
      </c>
      <c r="E78" s="140">
        <f>+D78</f>
        <v/>
      </c>
      <c r="F78" s="1197" t="n">
        <v>220150.85</v>
      </c>
      <c r="G78" s="1197">
        <f>+F78</f>
        <v/>
      </c>
      <c r="H78" s="1197" t="n"/>
      <c r="I78" s="347" t="n"/>
      <c r="J78" s="1006" t="n"/>
      <c r="K78" s="1006" t="n"/>
      <c r="L78" s="1197" t="n"/>
      <c r="M78" s="1197">
        <f>C78-D78-F78-H78</f>
        <v/>
      </c>
      <c r="N78" s="1102">
        <f>M78*0.5/100</f>
        <v/>
      </c>
    </row>
    <row r="79" ht="18.75" customFormat="1" customHeight="1" s="1">
      <c r="A79" s="351" t="inlineStr">
        <is>
          <t>H/0104</t>
        </is>
      </c>
      <c r="B79" s="351" t="inlineStr">
        <is>
          <t>H/104 Sumit Sharma</t>
        </is>
      </c>
      <c r="C79" s="1101" t="n">
        <v>885956</v>
      </c>
      <c r="D79" s="1101">
        <f>43068+25000</f>
        <v/>
      </c>
      <c r="E79" s="140">
        <f>+D79</f>
        <v/>
      </c>
      <c r="F79" s="1197">
        <f>211035</f>
        <v/>
      </c>
      <c r="G79" s="1197">
        <f>F79</f>
        <v/>
      </c>
      <c r="H79" s="1197" t="n"/>
      <c r="I79" s="347" t="n"/>
      <c r="J79" s="1006" t="n"/>
      <c r="K79" s="1006" t="n"/>
      <c r="L79" s="1197" t="n"/>
      <c r="M79" s="1197">
        <f>C79-D79-F79-H79</f>
        <v/>
      </c>
      <c r="N79" s="1102">
        <f>M79*0.5/100</f>
        <v/>
      </c>
    </row>
    <row r="80" ht="18.75" customFormat="1" customHeight="1" s="1">
      <c r="A80" s="351" t="inlineStr">
        <is>
          <t>H/0105</t>
        </is>
      </c>
      <c r="B80" s="351" t="inlineStr">
        <is>
          <t>H/105, Harshadbhai Vinodbhai Makwana</t>
        </is>
      </c>
      <c r="C80" s="1101" t="n">
        <v>243017.7</v>
      </c>
      <c r="D80" s="1101" t="n">
        <v>243017.7</v>
      </c>
      <c r="E80" s="140">
        <f>+D80</f>
        <v/>
      </c>
      <c r="F80" s="1197" t="n"/>
      <c r="G80" s="1197">
        <f>+F80</f>
        <v/>
      </c>
      <c r="H80" s="1197" t="n"/>
      <c r="I80" s="347" t="n"/>
      <c r="J80" s="1006" t="n"/>
      <c r="K80" s="1006" t="n"/>
      <c r="L80" s="1197" t="n"/>
      <c r="M80" s="1197">
        <f>C80-D80-F80-H80</f>
        <v/>
      </c>
      <c r="N80" s="1102">
        <f>M80*0.5/100</f>
        <v/>
      </c>
    </row>
    <row r="81" ht="18.75" customFormat="1" customHeight="1" s="1">
      <c r="A81" s="351" t="inlineStr">
        <is>
          <t>H/0205</t>
        </is>
      </c>
      <c r="B81" s="351" t="inlineStr">
        <is>
          <t>H/205,Popatlal Labana / Rajani Labana</t>
        </is>
      </c>
      <c r="C81" s="1101" t="n">
        <v>155795.7</v>
      </c>
      <c r="D81" s="1197" t="n">
        <v>1108.85</v>
      </c>
      <c r="E81" s="140">
        <f>+D81</f>
        <v/>
      </c>
      <c r="F81" s="1197" t="n">
        <v>154686.85</v>
      </c>
      <c r="G81" s="1197">
        <f>+F81</f>
        <v/>
      </c>
      <c r="H81" s="1197" t="n"/>
      <c r="I81" s="347" t="n"/>
      <c r="J81" s="1006" t="n"/>
      <c r="K81" s="1006" t="n"/>
      <c r="L81" s="1197" t="n"/>
      <c r="M81" s="1197">
        <f>C81-D81-F81-H81</f>
        <v/>
      </c>
      <c r="N81" s="1102">
        <f>M81*0.5/100</f>
        <v/>
      </c>
    </row>
    <row r="82" ht="18.75" customFormat="1" customHeight="1" s="1">
      <c r="A82" s="351" t="inlineStr">
        <is>
          <t>H/0305</t>
        </is>
      </c>
      <c r="B82" s="351" t="inlineStr">
        <is>
          <t>H,305, Lakshmi Shreejith</t>
        </is>
      </c>
      <c r="C82" s="1101" t="n">
        <v>213934.7</v>
      </c>
      <c r="D82" s="1197" t="n">
        <v>213934.7</v>
      </c>
      <c r="E82" s="140">
        <f>+D82</f>
        <v/>
      </c>
      <c r="F82" s="1197" t="n"/>
      <c r="G82" s="1197">
        <f>+F82</f>
        <v/>
      </c>
      <c r="H82" s="1197" t="n"/>
      <c r="I82" s="347" t="n"/>
      <c r="J82" s="1006" t="n"/>
      <c r="K82" s="1006" t="n"/>
      <c r="L82" s="1197" t="n"/>
      <c r="M82" s="1197">
        <f>C82-D82-F82-H82</f>
        <v/>
      </c>
      <c r="N82" s="1102">
        <f>M82*0.5/100</f>
        <v/>
      </c>
    </row>
    <row r="83" ht="18.75" customFormat="1" customHeight="1" s="1">
      <c r="A83" s="351" t="inlineStr">
        <is>
          <t>H/0403</t>
        </is>
      </c>
      <c r="B83" s="351" t="inlineStr">
        <is>
          <t>H-403, Hiral Trivedi, Paras G. Trivedi</t>
        </is>
      </c>
      <c r="C83" s="1101" t="n">
        <v>213934.7</v>
      </c>
      <c r="D83" s="1101" t="n">
        <v>213934.7</v>
      </c>
      <c r="E83" s="140">
        <f>+D83</f>
        <v/>
      </c>
      <c r="F83" s="1197" t="n"/>
      <c r="G83" s="1197" t="n"/>
      <c r="H83" s="1197" t="n"/>
      <c r="I83" s="347" t="n"/>
      <c r="J83" s="1006" t="n"/>
      <c r="K83" s="1006" t="n"/>
      <c r="L83" s="1197" t="n"/>
      <c r="M83" s="1197">
        <f>C83-D83-F83-H83</f>
        <v/>
      </c>
      <c r="N83" s="1102">
        <f>M83*0.5/100</f>
        <v/>
      </c>
    </row>
    <row r="84" ht="18.75" customFormat="1" customHeight="1" s="1">
      <c r="A84" s="351" t="inlineStr">
        <is>
          <t>H/0506</t>
        </is>
      </c>
      <c r="B84" s="351" t="inlineStr">
        <is>
          <t>H-506, Savita Sadia,Ranjeet Jetha Sadia</t>
        </is>
      </c>
      <c r="C84" s="1101" t="n">
        <v>356436</v>
      </c>
      <c r="D84" s="1197" t="n"/>
      <c r="E84" s="140">
        <f>+D84</f>
        <v/>
      </c>
      <c r="F84" s="1197" t="n"/>
      <c r="G84" s="1197" t="n"/>
      <c r="H84" s="1197" t="n"/>
      <c r="I84" s="347" t="n"/>
      <c r="J84" s="1006" t="n"/>
      <c r="K84" s="1006" t="n"/>
      <c r="L84" s="1197" t="n"/>
      <c r="M84" s="1197">
        <f>C84-D84-F84-H84</f>
        <v/>
      </c>
      <c r="N84" s="1102">
        <f>M84*0.5/100</f>
        <v/>
      </c>
    </row>
    <row r="85" ht="18.75" customFormat="1" customHeight="1" s="1">
      <c r="A85" s="351" t="inlineStr">
        <is>
          <t>H/0605</t>
        </is>
      </c>
      <c r="B85" s="351" t="inlineStr">
        <is>
          <t>H-605, Brijeshkumar Maurya &amp; Sweta Daga</t>
        </is>
      </c>
      <c r="C85" s="1101" t="n">
        <v>712872</v>
      </c>
      <c r="D85" s="1197" t="n"/>
      <c r="E85" s="140">
        <f>+D85</f>
        <v/>
      </c>
      <c r="F85" s="1197" t="n"/>
      <c r="G85" s="1197">
        <f>+F85</f>
        <v/>
      </c>
      <c r="H85" s="1197" t="n"/>
      <c r="I85" s="347" t="n"/>
      <c r="J85" s="1006" t="n"/>
      <c r="K85" s="1006" t="n"/>
      <c r="L85" s="1197" t="n"/>
      <c r="M85" s="1197">
        <f>C85-D85-F85-H85</f>
        <v/>
      </c>
      <c r="N85" s="1102">
        <f>M85*0.5/100</f>
        <v/>
      </c>
    </row>
    <row r="86" ht="18.75" customFormat="1" customHeight="1" s="1">
      <c r="A86" s="351" t="inlineStr">
        <is>
          <t>H/0606</t>
        </is>
      </c>
      <c r="B86" s="351" t="inlineStr">
        <is>
          <t>H-606, Indrasingh Rathore, Kailash Kunwar</t>
        </is>
      </c>
      <c r="C86" s="1101" t="n">
        <v>1584156</v>
      </c>
      <c r="D86" s="1197" t="n"/>
      <c r="E86" s="140">
        <f>+D86</f>
        <v/>
      </c>
      <c r="F86" s="1197" t="n"/>
      <c r="G86" s="1197" t="n"/>
      <c r="H86" s="1197" t="n"/>
      <c r="I86" s="347" t="n">
        <v>792078</v>
      </c>
      <c r="J86" s="1006" t="n"/>
      <c r="K86" s="1006" t="n"/>
      <c r="L86" s="1197" t="n"/>
      <c r="M86" s="1197">
        <f>C86-D86-F86-H86</f>
        <v/>
      </c>
      <c r="N86" s="1102">
        <f>M86*0.5/100</f>
        <v/>
      </c>
    </row>
    <row r="87" ht="18.75" customFormat="1" customHeight="1" s="1">
      <c r="A87" s="351" t="inlineStr">
        <is>
          <t>H/1006</t>
        </is>
      </c>
      <c r="B87" s="351" t="inlineStr">
        <is>
          <t>H-1006, Kinjal(Dhara) Shah, Bhavesh Shah</t>
        </is>
      </c>
      <c r="C87" s="1101" t="n">
        <v>245171.7</v>
      </c>
      <c r="D87" s="1197" t="n">
        <v>42478.85</v>
      </c>
      <c r="E87" s="140">
        <f>+D87</f>
        <v/>
      </c>
      <c r="F87" s="1197" t="n">
        <v>202692.85</v>
      </c>
      <c r="G87" s="1197">
        <f>+F87</f>
        <v/>
      </c>
      <c r="H87" s="1197" t="n"/>
      <c r="I87" s="347" t="n"/>
      <c r="J87" s="1006" t="n"/>
      <c r="K87" s="1006" t="n"/>
      <c r="L87" s="1197" t="n"/>
      <c r="M87" s="1197">
        <f>C87-D87-F87-H87</f>
        <v/>
      </c>
      <c r="N87" s="1102">
        <f>M87*0.5/100</f>
        <v/>
      </c>
    </row>
    <row r="88" ht="18.75" customFormat="1" customHeight="1" s="1">
      <c r="A88" s="351" t="inlineStr">
        <is>
          <t>H/1103</t>
        </is>
      </c>
      <c r="B88" s="351" t="inlineStr">
        <is>
          <t>H/1103 Amit Agarwal</t>
        </is>
      </c>
      <c r="C88" s="1101" t="n">
        <v>266012.7</v>
      </c>
      <c r="D88" s="1197" t="n">
        <v>46008.85</v>
      </c>
      <c r="E88" s="140">
        <f>+D88</f>
        <v/>
      </c>
      <c r="F88" s="1197" t="n">
        <v>220003.85</v>
      </c>
      <c r="G88" s="1197">
        <f>+F88</f>
        <v/>
      </c>
      <c r="H88" s="1197" t="n"/>
      <c r="I88" s="347" t="n"/>
      <c r="J88" s="1006" t="n"/>
      <c r="K88" s="1006" t="n"/>
      <c r="L88" s="1197" t="n"/>
      <c r="M88" s="1197">
        <f>C88-D88-F88-H88</f>
        <v/>
      </c>
      <c r="N88" s="1102">
        <f>M88*0.5/100</f>
        <v/>
      </c>
    </row>
    <row r="89" ht="18.75" customFormat="1" customHeight="1" s="1">
      <c r="A89" s="351" t="inlineStr">
        <is>
          <t>H/1106</t>
        </is>
      </c>
      <c r="B89" s="351" t="inlineStr">
        <is>
          <t>H-1106, Lavnishbhai Maganbhai Ankoliya</t>
        </is>
      </c>
      <c r="C89" s="1101" t="n">
        <v>197130.7</v>
      </c>
      <c r="D89" s="1197" t="n">
        <v>34338.85</v>
      </c>
      <c r="E89" s="140">
        <f>+D89</f>
        <v/>
      </c>
      <c r="F89" s="1197" t="n">
        <v>162791.85</v>
      </c>
      <c r="G89" s="1197">
        <f>+F89</f>
        <v/>
      </c>
      <c r="H89" s="1197" t="n"/>
      <c r="I89" s="347" t="n"/>
      <c r="J89" s="1006" t="n"/>
      <c r="K89" s="1006" t="n"/>
      <c r="L89" s="1197" t="n"/>
      <c r="M89" s="1197">
        <f>C89-D89-F89-H89</f>
        <v/>
      </c>
      <c r="N89" s="1102">
        <f>M89*0.5/100</f>
        <v/>
      </c>
    </row>
    <row r="90" ht="18.75" customFormat="1" customHeight="1" s="1">
      <c r="A90" s="351" t="inlineStr">
        <is>
          <t>I/0103</t>
        </is>
      </c>
      <c r="B90" s="351" t="inlineStr">
        <is>
          <t>I-103, Bhanavi Mishra &amp; Ankur Mishra</t>
        </is>
      </c>
      <c r="C90" s="1101" t="n">
        <v>426564.7</v>
      </c>
      <c r="D90" s="1101">
        <f>33613+25000</f>
        <v/>
      </c>
      <c r="E90" s="140">
        <f>+D90</f>
        <v/>
      </c>
      <c r="F90" s="1197">
        <f>152454+184691.7</f>
        <v/>
      </c>
      <c r="G90" s="1197">
        <f>+F90</f>
        <v/>
      </c>
      <c r="H90" s="1197" t="n"/>
      <c r="I90" s="347" t="n"/>
      <c r="J90" s="1006" t="n"/>
      <c r="K90" s="1006" t="n"/>
      <c r="L90" s="1197" t="n"/>
      <c r="M90" s="1197">
        <f>C90-D90-F90-H90</f>
        <v/>
      </c>
      <c r="N90" s="1102">
        <f>M90*0.5/100</f>
        <v/>
      </c>
    </row>
    <row r="91" ht="18.75" customFormat="1" customHeight="1" s="1">
      <c r="A91" s="351" t="inlineStr">
        <is>
          <t>I/0405</t>
        </is>
      </c>
      <c r="B91" s="351" t="inlineStr">
        <is>
          <t>I-405, Remigius F Dias</t>
        </is>
      </c>
      <c r="C91" s="1101" t="n">
        <v>31694.75</v>
      </c>
      <c r="D91" s="1197" t="n">
        <v>31694.75</v>
      </c>
      <c r="E91" s="140">
        <f>+D91</f>
        <v/>
      </c>
      <c r="F91" s="1197" t="n"/>
      <c r="G91" s="1197" t="n"/>
      <c r="H91" s="1197" t="n"/>
      <c r="I91" s="347" t="n"/>
      <c r="J91" s="1006" t="n"/>
      <c r="K91" s="1006" t="n"/>
      <c r="L91" s="1197" t="n"/>
      <c r="M91" s="1197">
        <f>C91-D91-F91-H91</f>
        <v/>
      </c>
      <c r="N91" s="1102">
        <f>M91*0.5/100</f>
        <v/>
      </c>
    </row>
    <row r="92" ht="18.75" customFormat="1" customHeight="1" s="1">
      <c r="A92" s="351" t="inlineStr">
        <is>
          <t>I/0605</t>
        </is>
      </c>
      <c r="B92" s="351" t="inlineStr">
        <is>
          <t>I-605, Dhananjay Nandi</t>
        </is>
      </c>
      <c r="C92" s="1101" t="n">
        <v>292422</v>
      </c>
      <c r="D92" s="1101">
        <f>25000+47402</f>
        <v/>
      </c>
      <c r="E92" s="140">
        <f>+D92</f>
        <v/>
      </c>
      <c r="F92" s="1197">
        <f>220020</f>
        <v/>
      </c>
      <c r="G92" s="1197">
        <f>+F92</f>
        <v/>
      </c>
      <c r="H92" s="1197" t="n"/>
      <c r="I92" s="347" t="n"/>
      <c r="J92" s="1006" t="n"/>
      <c r="K92" s="1006" t="n"/>
      <c r="L92" s="1197" t="n"/>
      <c r="M92" s="1197">
        <f>C92-D92-F92-H92</f>
        <v/>
      </c>
      <c r="N92" s="1102">
        <f>M92*0.5/100</f>
        <v/>
      </c>
    </row>
    <row r="93" ht="18.75" customFormat="1" customHeight="1" s="1">
      <c r="A93" s="351" t="inlineStr">
        <is>
          <t>I/0805</t>
        </is>
      </c>
      <c r="B93" s="351" t="inlineStr">
        <is>
          <t>I-805, Manjulaben Lungariya, Rayan Lunagariya</t>
        </is>
      </c>
      <c r="C93" s="1101" t="n">
        <v>735686</v>
      </c>
      <c r="D93" s="1197">
        <f>2500+25000</f>
        <v/>
      </c>
      <c r="E93" s="140">
        <f>+D93</f>
        <v/>
      </c>
      <c r="F93" s="1197">
        <f>219456</f>
        <v/>
      </c>
      <c r="G93" s="1197">
        <f>+F93</f>
        <v/>
      </c>
      <c r="H93" s="1197" t="n"/>
      <c r="I93" s="347" t="n"/>
      <c r="J93" s="1006" t="n"/>
      <c r="K93" s="1006" t="n"/>
      <c r="L93" s="1197" t="n"/>
      <c r="M93" s="1197">
        <f>C93-D93-F93-H93</f>
        <v/>
      </c>
      <c r="N93" s="1102">
        <f>M93*0.5/100</f>
        <v/>
      </c>
    </row>
    <row r="94" ht="18.75" customFormat="1" customHeight="1" s="1">
      <c r="A94" s="351" t="inlineStr">
        <is>
          <t>I/0905</t>
        </is>
      </c>
      <c r="B94" s="351" t="inlineStr">
        <is>
          <t>I-905, Swati Chintan Mehta &amp; Chintan Harin Mehta</t>
        </is>
      </c>
      <c r="C94" s="1101" t="n">
        <v>429412</v>
      </c>
      <c r="D94" s="1197" t="n"/>
      <c r="E94" s="140">
        <f>+D94</f>
        <v/>
      </c>
      <c r="F94" s="1197" t="n"/>
      <c r="G94" s="1197" t="n"/>
      <c r="H94" s="1197" t="n"/>
      <c r="I94" s="347" t="n"/>
      <c r="J94" s="1006" t="n"/>
      <c r="K94" s="1006" t="n"/>
      <c r="L94" s="1197" t="n"/>
      <c r="M94" s="1197">
        <f>C94-D94-F94-H94</f>
        <v/>
      </c>
      <c r="N94" s="1102">
        <f>M94*0.5/100</f>
        <v/>
      </c>
    </row>
    <row r="95" ht="18.75" customFormat="1" customHeight="1" s="1">
      <c r="A95" s="351" t="inlineStr">
        <is>
          <t>I/1205</t>
        </is>
      </c>
      <c r="B95" s="351" t="inlineStr">
        <is>
          <t>I-1205, Rakesh Dogra &amp; Rashu Rakesh Gogra</t>
        </is>
      </c>
      <c r="C95" s="1101" t="n">
        <v>265870.7</v>
      </c>
      <c r="D95" s="1197" t="n">
        <v>265870.7</v>
      </c>
      <c r="E95" s="140">
        <f>+D95</f>
        <v/>
      </c>
      <c r="F95" s="1197" t="n"/>
      <c r="G95" s="1197" t="n"/>
      <c r="H95" s="1197" t="n"/>
      <c r="I95" s="347" t="n"/>
      <c r="J95" s="1006" t="n"/>
      <c r="K95" s="1006" t="n"/>
      <c r="L95" s="1197" t="n"/>
      <c r="M95" s="1197">
        <f>C95-D95-F95-H95</f>
        <v/>
      </c>
      <c r="N95" s="1102">
        <f>M95*0.5/100</f>
        <v/>
      </c>
    </row>
    <row r="96" ht="18.75" customFormat="1" customHeight="1" s="1">
      <c r="A96" s="351" t="inlineStr">
        <is>
          <t>J/0104</t>
        </is>
      </c>
      <c r="B96" s="351" t="inlineStr">
        <is>
          <t>J-104, Anuradha Sharma</t>
        </is>
      </c>
      <c r="C96" s="1101" t="n">
        <v>2354833.7</v>
      </c>
      <c r="D96" s="1197">
        <f>2500+25000+1108.85</f>
        <v/>
      </c>
      <c r="E96" s="140">
        <f>+D96</f>
        <v/>
      </c>
      <c r="F96" s="1197">
        <f>211035+211046.85</f>
        <v/>
      </c>
      <c r="G96" s="1197">
        <f>+F96</f>
        <v/>
      </c>
      <c r="H96" s="1197" t="n"/>
      <c r="I96" s="347" t="n"/>
      <c r="J96" s="1006" t="n"/>
      <c r="K96" s="1006" t="n"/>
      <c r="L96" s="1197" t="n"/>
      <c r="M96" s="1197">
        <f>C96-D96-F96-H96</f>
        <v/>
      </c>
      <c r="N96" s="1102">
        <f>M96*0.5/100</f>
        <v/>
      </c>
    </row>
    <row r="97" ht="18.75" customFormat="1" customHeight="1" s="1">
      <c r="A97" s="351" t="inlineStr">
        <is>
          <t>J/0202</t>
        </is>
      </c>
      <c r="B97" s="351" t="inlineStr">
        <is>
          <t>J-202, Dinesh HemnanI</t>
        </is>
      </c>
      <c r="C97" s="1101" t="n">
        <v>701760.7</v>
      </c>
      <c r="D97" s="1101" t="n">
        <v>250176.7</v>
      </c>
      <c r="E97" s="140">
        <f>+D97</f>
        <v/>
      </c>
      <c r="F97" s="1197" t="n"/>
      <c r="G97" s="1197" t="n"/>
      <c r="H97" s="1197" t="n"/>
      <c r="I97" s="347" t="n"/>
      <c r="J97" s="1006" t="n"/>
      <c r="K97" s="1006" t="n"/>
      <c r="L97" s="1197" t="n"/>
      <c r="M97" s="1197">
        <f>C97-D97-F97-H97</f>
        <v/>
      </c>
      <c r="N97" s="1102">
        <f>M97*0.5/100</f>
        <v/>
      </c>
    </row>
    <row r="98" ht="18.75" customFormat="1" customHeight="1" s="1">
      <c r="A98" s="351" t="inlineStr">
        <is>
          <t>J/0406</t>
        </is>
      </c>
      <c r="B98" s="351" t="inlineStr">
        <is>
          <t>J/406 Jagat Thakkar</t>
        </is>
      </c>
      <c r="C98" s="1101" t="n">
        <v>990099</v>
      </c>
      <c r="D98" s="1197" t="n"/>
      <c r="E98" s="140">
        <f>+D98</f>
        <v/>
      </c>
      <c r="F98" s="1197" t="n"/>
      <c r="G98" s="1197" t="n"/>
      <c r="H98" s="1197" t="n"/>
      <c r="I98" s="347" t="n"/>
      <c r="J98" s="347" t="n"/>
      <c r="K98" s="1006" t="n"/>
      <c r="L98" s="1197" t="n"/>
      <c r="M98" s="1197">
        <f>C98-D98-F98-H98</f>
        <v/>
      </c>
      <c r="N98" s="1102">
        <f>M98*0.5/100</f>
        <v/>
      </c>
    </row>
    <row r="99" ht="18.75" customFormat="1" customHeight="1" s="1">
      <c r="A99" s="351" t="inlineStr">
        <is>
          <t>J/0701</t>
        </is>
      </c>
      <c r="B99" s="351" t="inlineStr">
        <is>
          <t>J-701, Jaykumar Bharatkumar Thakkar</t>
        </is>
      </c>
      <c r="C99" s="1101" t="n">
        <v>220504.7</v>
      </c>
      <c r="D99" s="1101" t="n">
        <v>220504.7</v>
      </c>
      <c r="E99" s="140">
        <f>+D99</f>
        <v/>
      </c>
      <c r="F99" s="1197" t="n"/>
      <c r="G99" s="1197" t="n"/>
      <c r="H99" s="1197" t="n"/>
      <c r="I99" s="347" t="n"/>
      <c r="J99" s="1006" t="n"/>
      <c r="K99" s="1006" t="n"/>
      <c r="L99" s="1197" t="n"/>
      <c r="M99" s="1197">
        <f>C99-D99-F99-H99</f>
        <v/>
      </c>
      <c r="N99" s="1102">
        <f>M99*0.5/100</f>
        <v/>
      </c>
    </row>
    <row r="100" ht="18.75" customFormat="1" customHeight="1" s="1">
      <c r="A100" s="351" t="inlineStr">
        <is>
          <t>J/0902</t>
        </is>
      </c>
      <c r="B100" s="351" t="inlineStr">
        <is>
          <t>J-902, Riddhi Jivanbhai Boricha</t>
        </is>
      </c>
      <c r="C100" s="1101" t="n">
        <v>396040</v>
      </c>
      <c r="D100" s="1197" t="n"/>
      <c r="E100" s="140">
        <f>+D100</f>
        <v/>
      </c>
      <c r="F100" s="1197" t="n"/>
      <c r="G100" s="1197">
        <f>+F100</f>
        <v/>
      </c>
      <c r="H100" s="1197" t="n"/>
      <c r="I100" s="347" t="n"/>
      <c r="J100" s="1006" t="n"/>
      <c r="K100" s="1006" t="n"/>
      <c r="L100" s="1197" t="n"/>
      <c r="M100" s="1197">
        <f>C100-D100-F100-H100</f>
        <v/>
      </c>
      <c r="N100" s="1102">
        <f>M100*0.5/100</f>
        <v/>
      </c>
    </row>
    <row r="101" ht="18.75" customFormat="1" customHeight="1" s="1">
      <c r="A101" s="351" t="inlineStr">
        <is>
          <t>J/0904</t>
        </is>
      </c>
      <c r="B101" s="351" t="inlineStr">
        <is>
          <t>J-904, Priyanka Jadeja</t>
        </is>
      </c>
      <c r="C101" s="1101" t="n">
        <v>396040</v>
      </c>
      <c r="D101" s="1101" t="n"/>
      <c r="E101" s="140">
        <f>+D101</f>
        <v/>
      </c>
      <c r="F101" s="1197" t="n"/>
      <c r="G101" s="1197" t="n"/>
      <c r="H101" s="1197" t="n"/>
      <c r="I101" s="347" t="n"/>
      <c r="J101" s="1006" t="n"/>
      <c r="K101" s="1006" t="n"/>
      <c r="L101" s="1197" t="n"/>
      <c r="M101" s="1197">
        <f>C101-D101-F101-H101</f>
        <v/>
      </c>
      <c r="N101" s="1102">
        <f>M101*0.5/100</f>
        <v/>
      </c>
    </row>
    <row r="102" ht="18.75" customFormat="1" customHeight="1" s="1">
      <c r="A102" s="351" t="inlineStr">
        <is>
          <t>J/0906</t>
        </is>
      </c>
      <c r="B102" s="351" t="inlineStr">
        <is>
          <t>J-906, Rajesh Shashikant Barot &amp; Dhwani Barot</t>
        </is>
      </c>
      <c r="C102" s="1101" t="n">
        <v>422772</v>
      </c>
      <c r="D102" s="1101" t="n"/>
      <c r="E102" s="140">
        <f>+D102</f>
        <v/>
      </c>
      <c r="F102" s="1197" t="n"/>
      <c r="G102" s="1197" t="n"/>
      <c r="H102" s="1197" t="n"/>
      <c r="I102" s="347" t="n"/>
      <c r="J102" s="1006" t="n"/>
      <c r="K102" s="1006" t="n"/>
      <c r="L102" s="1197" t="n"/>
      <c r="M102" s="1197">
        <f>C102-D102-F102-H102</f>
        <v/>
      </c>
      <c r="N102" s="1102">
        <f>M102*0.5/100</f>
        <v/>
      </c>
    </row>
    <row r="103" ht="18.75" customFormat="1" customHeight="1" s="1">
      <c r="A103" s="351" t="n"/>
      <c r="B103" s="351" t="inlineStr">
        <is>
          <t>Suspense A/c of Members'Collection</t>
        </is>
      </c>
      <c r="C103" s="1101" t="n">
        <v>684880</v>
      </c>
      <c r="D103" s="1197" t="n"/>
      <c r="E103" s="140">
        <f>+D103</f>
        <v/>
      </c>
      <c r="F103" s="1197" t="n"/>
      <c r="G103" s="1197">
        <f>+F103</f>
        <v/>
      </c>
      <c r="H103" s="1197" t="n"/>
      <c r="I103" s="347" t="n"/>
      <c r="J103" s="1006" t="n"/>
      <c r="K103" s="1006" t="n"/>
      <c r="L103" s="1197" t="n"/>
      <c r="M103" s="1197">
        <f>C103-D103-F103-H103</f>
        <v/>
      </c>
      <c r="N103" s="1102">
        <f>M103*0.5/100</f>
        <v/>
      </c>
    </row>
    <row r="104" ht="18.75" customFormat="1" customHeight="1" s="1">
      <c r="A104" s="351" t="n"/>
      <c r="B104" s="351" t="n"/>
      <c r="C104" s="1101" t="n"/>
      <c r="D104" s="1197" t="n"/>
      <c r="E104" s="140">
        <f>+D104</f>
        <v/>
      </c>
      <c r="F104" s="1197" t="n"/>
      <c r="G104" s="1197" t="n"/>
      <c r="H104" s="1197" t="n"/>
      <c r="I104" s="347" t="n"/>
      <c r="J104" s="1006" t="n"/>
      <c r="K104" s="1006" t="n"/>
      <c r="L104" s="1197" t="n"/>
      <c r="M104" s="1197">
        <f>C104-D104-F104-H104</f>
        <v/>
      </c>
      <c r="N104" s="1102">
        <f>M104*0.5/100</f>
        <v/>
      </c>
    </row>
    <row r="105" ht="18.75" customFormat="1" customHeight="1" s="1">
      <c r="A105" s="351" t="n"/>
      <c r="B105" s="351" t="n"/>
      <c r="C105" s="1101" t="n"/>
      <c r="D105" s="1197" t="n"/>
      <c r="E105" s="140">
        <f>+D105</f>
        <v/>
      </c>
      <c r="F105" s="1197" t="n"/>
      <c r="G105" s="1197">
        <f>+F105</f>
        <v/>
      </c>
      <c r="H105" s="1197" t="n"/>
      <c r="I105" s="347" t="n"/>
      <c r="J105" s="1006" t="n"/>
      <c r="K105" s="1006" t="n"/>
      <c r="L105" s="1197" t="n"/>
      <c r="M105" s="1197">
        <f>C105-D105-F105-H105</f>
        <v/>
      </c>
      <c r="N105" s="1102">
        <f>M105*0.5/100</f>
        <v/>
      </c>
    </row>
    <row r="106" ht="18.75" customFormat="1" customHeight="1" s="1">
      <c r="A106" s="351" t="n"/>
      <c r="B106" s="351" t="n"/>
      <c r="C106" s="1101" t="n"/>
      <c r="D106" s="1197" t="n"/>
      <c r="E106" s="140">
        <f>+D106</f>
        <v/>
      </c>
      <c r="F106" s="1197" t="n"/>
      <c r="G106" s="1197" t="n"/>
      <c r="H106" s="1197" t="n"/>
      <c r="I106" s="347" t="n"/>
      <c r="J106" s="1006" t="n"/>
      <c r="K106" s="1006" t="n"/>
      <c r="L106" s="1197" t="n"/>
      <c r="M106" s="1197">
        <f>C106-D106-F106-H106</f>
        <v/>
      </c>
      <c r="N106" s="1102">
        <f>M106*0.5/100</f>
        <v/>
      </c>
    </row>
    <row r="107" ht="18.75" customFormat="1" customHeight="1" s="1">
      <c r="A107" s="351" t="n"/>
      <c r="B107" s="351" t="n"/>
      <c r="C107" s="1101" t="n"/>
      <c r="D107" s="1197" t="n"/>
      <c r="E107" s="140">
        <f>+D107</f>
        <v/>
      </c>
      <c r="F107" s="1197" t="n"/>
      <c r="G107" s="1197" t="n"/>
      <c r="H107" s="1197" t="n"/>
      <c r="I107" s="347" t="n"/>
      <c r="J107" s="1006" t="n"/>
      <c r="K107" s="1006" t="n"/>
      <c r="L107" s="1197" t="n"/>
      <c r="M107" s="1197">
        <f>C107-D107-F107-H107</f>
        <v/>
      </c>
      <c r="N107" s="1102">
        <f>M107*0.5/100</f>
        <v/>
      </c>
    </row>
    <row r="108" ht="18.75" customFormat="1" customHeight="1" s="1">
      <c r="A108" s="351" t="n"/>
      <c r="B108" s="351" t="n"/>
      <c r="C108" s="1101" t="n"/>
      <c r="D108" s="1197" t="n"/>
      <c r="E108" s="140">
        <f>+D108</f>
        <v/>
      </c>
      <c r="F108" s="1197" t="n"/>
      <c r="G108" s="1197" t="n"/>
      <c r="H108" s="1197" t="n"/>
      <c r="I108" s="347" t="n"/>
      <c r="J108" s="1006" t="n"/>
      <c r="K108" s="1006" t="n"/>
      <c r="L108" s="1197" t="n"/>
      <c r="M108" s="1197">
        <f>C108-D108-F108-H108</f>
        <v/>
      </c>
      <c r="N108" s="1102">
        <f>M108*0.5/100</f>
        <v/>
      </c>
    </row>
    <row r="109" ht="18.75" customFormat="1" customHeight="1" s="1">
      <c r="A109" s="351" t="n"/>
      <c r="B109" s="351" t="n"/>
      <c r="C109" s="1101" t="n"/>
      <c r="D109" s="1197" t="n"/>
      <c r="E109" s="140">
        <f>+D109</f>
        <v/>
      </c>
      <c r="F109" s="1197" t="n"/>
      <c r="G109" s="1197" t="n"/>
      <c r="H109" s="1197" t="n"/>
      <c r="I109" s="347" t="n"/>
      <c r="J109" s="1006" t="n"/>
      <c r="K109" s="1006" t="n"/>
      <c r="L109" s="1197" t="n"/>
      <c r="M109" s="1197">
        <f>C109-D109-F109-H109</f>
        <v/>
      </c>
      <c r="N109" s="1102">
        <f>M109*0.5/100</f>
        <v/>
      </c>
    </row>
    <row r="110" ht="18.75" customFormat="1" customHeight="1" s="1">
      <c r="A110" s="351" t="n"/>
      <c r="B110" s="351" t="n"/>
      <c r="C110" s="1101" t="n"/>
      <c r="D110" s="1101" t="n"/>
      <c r="E110" s="140">
        <f>+D110</f>
        <v/>
      </c>
      <c r="F110" s="1197" t="n"/>
      <c r="G110" s="1197" t="n"/>
      <c r="H110" s="1197" t="n"/>
      <c r="I110" s="347" t="n"/>
      <c r="J110" s="1006" t="n"/>
      <c r="K110" s="1006" t="n"/>
      <c r="L110" s="1197" t="n"/>
      <c r="M110" s="1197">
        <f>C110-D110-F110-H110</f>
        <v/>
      </c>
      <c r="N110" s="1102">
        <f>M110*0.5/100</f>
        <v/>
      </c>
    </row>
    <row r="111" ht="18.75" customFormat="1" customHeight="1" s="1">
      <c r="A111" s="351" t="n"/>
      <c r="B111" s="351" t="n"/>
      <c r="C111" s="1101" t="n"/>
      <c r="D111" s="1197" t="n"/>
      <c r="E111" s="140">
        <f>+D111</f>
        <v/>
      </c>
      <c r="F111" s="1197" t="n"/>
      <c r="G111" s="1197" t="n"/>
      <c r="H111" s="1197" t="n"/>
      <c r="I111" s="347" t="n"/>
      <c r="J111" s="1006" t="n"/>
      <c r="K111" s="1006" t="n"/>
      <c r="L111" s="1197" t="n"/>
      <c r="M111" s="1197">
        <f>C111-D111-F111-H111</f>
        <v/>
      </c>
      <c r="N111" s="1102">
        <f>M111*0.5/100</f>
        <v/>
      </c>
    </row>
    <row r="112" ht="18.75" customFormat="1" customHeight="1" s="1">
      <c r="A112" s="351" t="n"/>
      <c r="B112" s="351" t="n"/>
      <c r="C112" s="1101" t="n"/>
      <c r="D112" s="1101" t="n"/>
      <c r="E112" s="140">
        <f>+D112</f>
        <v/>
      </c>
      <c r="F112" s="1197" t="n"/>
      <c r="G112" s="1197" t="n"/>
      <c r="H112" s="1197" t="n"/>
      <c r="I112" s="347" t="n"/>
      <c r="J112" s="1006" t="n"/>
      <c r="K112" s="1006" t="n"/>
      <c r="L112" s="1197" t="n"/>
      <c r="M112" s="1197">
        <f>C112-D112-F112-H112</f>
        <v/>
      </c>
      <c r="N112" s="1102">
        <f>M112*0.5/100</f>
        <v/>
      </c>
    </row>
    <row r="113" ht="18.75" customFormat="1" customHeight="1" s="1">
      <c r="A113" s="351" t="n"/>
      <c r="B113" s="351" t="n"/>
      <c r="C113" s="1101" t="n"/>
      <c r="D113" s="1101" t="n"/>
      <c r="E113" s="140">
        <f>+D113</f>
        <v/>
      </c>
      <c r="F113" s="1197" t="n"/>
      <c r="G113" s="1197" t="n"/>
      <c r="H113" s="1197" t="n"/>
      <c r="I113" s="347" t="n"/>
      <c r="J113" s="1006" t="n"/>
      <c r="K113" s="1006" t="n"/>
      <c r="L113" s="1197" t="n"/>
      <c r="M113" s="1197">
        <f>C113-D113-F113-H113</f>
        <v/>
      </c>
      <c r="N113" s="1102">
        <f>M113*0.5/100</f>
        <v/>
      </c>
    </row>
    <row r="114" ht="18.75" customFormat="1" customHeight="1" s="1">
      <c r="A114" s="351" t="n"/>
      <c r="B114" s="351" t="n"/>
      <c r="C114" s="1101" t="n"/>
      <c r="D114" s="1197" t="n"/>
      <c r="E114" s="140">
        <f>+D114</f>
        <v/>
      </c>
      <c r="F114" s="1197" t="n"/>
      <c r="G114" s="1197">
        <f>+F114</f>
        <v/>
      </c>
      <c r="H114" s="1197" t="n"/>
      <c r="I114" s="347" t="n"/>
      <c r="J114" s="1006" t="n"/>
      <c r="K114" s="1006" t="n"/>
      <c r="L114" s="1197" t="n"/>
      <c r="M114" s="1197">
        <f>C114-D114-F114-H114</f>
        <v/>
      </c>
      <c r="N114" s="1102">
        <f>M114*0.5/100</f>
        <v/>
      </c>
    </row>
    <row r="115" ht="18.75" customFormat="1" customHeight="1" s="1">
      <c r="A115" s="351" t="n"/>
      <c r="B115" s="351" t="n"/>
      <c r="C115" s="1101" t="n"/>
      <c r="D115" s="1197" t="n"/>
      <c r="E115" s="140">
        <f>+D115</f>
        <v/>
      </c>
      <c r="F115" s="1197" t="n"/>
      <c r="G115" s="1197" t="n"/>
      <c r="H115" s="1197" t="n"/>
      <c r="I115" s="347" t="n"/>
      <c r="J115" s="1006" t="n"/>
      <c r="K115" s="1006" t="n"/>
      <c r="L115" s="1197" t="n"/>
      <c r="M115" s="1197">
        <f>C115-D115-F115-H115</f>
        <v/>
      </c>
      <c r="N115" s="1102">
        <f>M115*0.5/100</f>
        <v/>
      </c>
    </row>
    <row r="116" ht="18.75" customFormat="1" customHeight="1" s="1">
      <c r="A116" s="351" t="n"/>
      <c r="B116" s="351" t="n"/>
      <c r="C116" s="1101" t="n"/>
      <c r="D116" s="1197" t="n"/>
      <c r="E116" s="140">
        <f>+D116</f>
        <v/>
      </c>
      <c r="F116" s="1197" t="n"/>
      <c r="G116" s="1197">
        <f>F116</f>
        <v/>
      </c>
      <c r="H116" s="1197" t="n"/>
      <c r="I116" s="347" t="n"/>
      <c r="J116" s="1006" t="n"/>
      <c r="K116" s="1006" t="n"/>
      <c r="L116" s="1197" t="n"/>
      <c r="M116" s="1197">
        <f>C116-D116-F116-H116</f>
        <v/>
      </c>
      <c r="N116" s="1102">
        <f>M116*0.5/100</f>
        <v/>
      </c>
    </row>
    <row r="117" ht="18.75" customFormat="1" customHeight="1" s="1">
      <c r="A117" s="351" t="n"/>
      <c r="B117" s="351" t="n"/>
      <c r="C117" s="1101" t="n"/>
      <c r="D117" s="1101" t="n"/>
      <c r="E117" s="140">
        <f>+D117</f>
        <v/>
      </c>
      <c r="F117" s="1197" t="n"/>
      <c r="G117" s="1197" t="n"/>
      <c r="H117" s="1197" t="n"/>
      <c r="I117" s="347" t="n"/>
      <c r="J117" s="1006" t="n"/>
      <c r="K117" s="1006" t="n"/>
      <c r="L117" s="1197" t="n"/>
      <c r="M117" s="1197">
        <f>C117-D117-F117-H117</f>
        <v/>
      </c>
      <c r="N117" s="1102">
        <f>M117*0.5/100</f>
        <v/>
      </c>
    </row>
    <row r="118" ht="18.75" customFormat="1" customHeight="1" s="1">
      <c r="A118" s="351" t="n"/>
      <c r="B118" s="351" t="n"/>
      <c r="C118" s="1101" t="n"/>
      <c r="D118" s="1197" t="n"/>
      <c r="E118" s="140">
        <f>+D118</f>
        <v/>
      </c>
      <c r="F118" s="1197" t="n"/>
      <c r="G118" s="1197">
        <f>F118</f>
        <v/>
      </c>
      <c r="H118" s="1197" t="n"/>
      <c r="I118" s="347" t="n"/>
      <c r="J118" s="1006" t="n"/>
      <c r="K118" s="1006" t="n"/>
      <c r="L118" s="1197" t="n"/>
      <c r="M118" s="1197">
        <f>C118-D118-F118-H118</f>
        <v/>
      </c>
      <c r="N118" s="1102">
        <f>M118*0.5/100</f>
        <v/>
      </c>
    </row>
    <row r="119" ht="18.75" customFormat="1" customHeight="1" s="1">
      <c r="A119" s="351" t="n"/>
      <c r="B119" s="351" t="n"/>
      <c r="C119" s="1101" t="n"/>
      <c r="D119" s="1101" t="n"/>
      <c r="E119" s="140">
        <f>+D119</f>
        <v/>
      </c>
      <c r="F119" s="1197" t="n"/>
      <c r="G119" s="1197" t="n"/>
      <c r="H119" s="1197" t="n"/>
      <c r="I119" s="347" t="n"/>
      <c r="J119" s="1006" t="n"/>
      <c r="K119" s="1006" t="n"/>
      <c r="L119" s="1197" t="n"/>
      <c r="M119" s="1197">
        <f>C119-D119-F119-H119</f>
        <v/>
      </c>
      <c r="N119" s="1102">
        <f>M119*0.5/100</f>
        <v/>
      </c>
    </row>
    <row r="120" ht="18.75" customFormat="1" customHeight="1" s="1">
      <c r="A120" s="351" t="n"/>
      <c r="B120" s="351" t="n"/>
      <c r="C120" s="1101" t="n"/>
      <c r="D120" s="1101" t="n"/>
      <c r="E120" s="140">
        <f>+D120</f>
        <v/>
      </c>
      <c r="F120" s="1197" t="n"/>
      <c r="G120" s="1197" t="n"/>
      <c r="H120" s="1197" t="n"/>
      <c r="I120" s="347" t="n"/>
      <c r="J120" s="1006" t="n"/>
      <c r="K120" s="1006" t="n"/>
      <c r="L120" s="1197" t="n"/>
      <c r="M120" s="1197">
        <f>C120-D120-F120-H120</f>
        <v/>
      </c>
      <c r="N120" s="1102">
        <f>M120*0.5/100</f>
        <v/>
      </c>
    </row>
    <row r="121" ht="18.75" customFormat="1" customHeight="1" s="1">
      <c r="A121" s="351" t="n"/>
      <c r="B121" s="351" t="n"/>
      <c r="C121" s="1101" t="n"/>
      <c r="D121" s="1197" t="n"/>
      <c r="E121" s="140">
        <f>+D121</f>
        <v/>
      </c>
      <c r="F121" s="1197" t="n"/>
      <c r="G121" s="1197" t="n"/>
      <c r="H121" s="1197" t="n"/>
      <c r="I121" s="347" t="n"/>
      <c r="J121" s="1006" t="n"/>
      <c r="K121" s="1006" t="n"/>
      <c r="L121" s="1197" t="n"/>
      <c r="M121" s="1197">
        <f>C121-D121-F121-H121</f>
        <v/>
      </c>
      <c r="N121" s="1102">
        <f>M121*0.5/100</f>
        <v/>
      </c>
    </row>
    <row r="122" ht="18.75" customFormat="1" customHeight="1" s="1">
      <c r="A122" s="351" t="n"/>
      <c r="B122" s="351" t="n"/>
      <c r="C122" s="1101" t="n"/>
      <c r="D122" s="1101" t="n"/>
      <c r="E122" s="140">
        <f>+D122</f>
        <v/>
      </c>
      <c r="F122" s="1197" t="n"/>
      <c r="G122" s="1197" t="n"/>
      <c r="H122" s="1197" t="n"/>
      <c r="I122" s="347" t="n"/>
      <c r="J122" s="1006" t="n"/>
      <c r="K122" s="1006" t="n"/>
      <c r="L122" s="1197" t="n"/>
      <c r="M122" s="1197">
        <f>C122-D122-F122-H122</f>
        <v/>
      </c>
      <c r="N122" s="1102">
        <f>M122*0.5/100</f>
        <v/>
      </c>
    </row>
    <row r="123" ht="18.75" customFormat="1" customHeight="1" s="1">
      <c r="A123" s="351" t="n"/>
      <c r="B123" s="351" t="n"/>
      <c r="C123" s="1101" t="n"/>
      <c r="D123" s="1101" t="n"/>
      <c r="E123" s="140">
        <f>+D123</f>
        <v/>
      </c>
      <c r="F123" s="1197" t="n"/>
      <c r="G123" s="1197" t="n"/>
      <c r="H123" s="1197" t="n"/>
      <c r="I123" s="347" t="n"/>
      <c r="J123" s="1006" t="n"/>
      <c r="K123" s="1006" t="n"/>
      <c r="L123" s="1197" t="n"/>
      <c r="M123" s="1197">
        <f>C123-D123-F123-H123</f>
        <v/>
      </c>
      <c r="N123" s="1102">
        <f>M123*0.5/100</f>
        <v/>
      </c>
    </row>
    <row r="124" ht="18.75" customFormat="1" customHeight="1" s="1">
      <c r="A124" s="351" t="n"/>
      <c r="B124" s="351" t="n"/>
      <c r="C124" s="1101" t="n"/>
      <c r="D124" s="1101" t="n"/>
      <c r="E124" s="140">
        <f>+D124</f>
        <v/>
      </c>
      <c r="F124" s="1197" t="n"/>
      <c r="G124" s="1197" t="n"/>
      <c r="H124" s="1197" t="n"/>
      <c r="I124" s="347" t="n"/>
      <c r="J124" s="1006" t="n"/>
      <c r="K124" s="1006" t="n"/>
      <c r="L124" s="1197" t="n"/>
      <c r="M124" s="1197">
        <f>C124-D124-F124-H124</f>
        <v/>
      </c>
      <c r="N124" s="1102">
        <f>M124*0.5/100</f>
        <v/>
      </c>
    </row>
    <row r="125" ht="18.75" customFormat="1" customHeight="1" s="1">
      <c r="A125" s="351" t="n"/>
      <c r="B125" s="351" t="n"/>
      <c r="C125" s="1101" t="n"/>
      <c r="D125" s="1101" t="n"/>
      <c r="E125" s="140">
        <f>+D125</f>
        <v/>
      </c>
      <c r="F125" s="1197" t="n"/>
      <c r="G125" s="1197" t="n"/>
      <c r="H125" s="1197" t="n"/>
      <c r="I125" s="347" t="n"/>
      <c r="J125" s="1006" t="n"/>
      <c r="K125" s="1006" t="n"/>
      <c r="L125" s="1197" t="n"/>
      <c r="M125" s="1197">
        <f>C125-D125-F125-H125</f>
        <v/>
      </c>
      <c r="N125" s="1102">
        <f>M125*0.5/100</f>
        <v/>
      </c>
    </row>
    <row r="126" ht="18.75" customFormat="1" customHeight="1" s="1">
      <c r="A126" s="351" t="n"/>
      <c r="B126" s="351" t="n"/>
      <c r="C126" s="1101" t="n"/>
      <c r="D126" s="1101" t="n"/>
      <c r="E126" s="140">
        <f>+D126</f>
        <v/>
      </c>
      <c r="F126" s="1197" t="n"/>
      <c r="G126" s="1197">
        <f>+F126</f>
        <v/>
      </c>
      <c r="H126" s="1197" t="n"/>
      <c r="I126" s="347" t="n"/>
      <c r="J126" s="1006" t="n"/>
      <c r="K126" s="1006" t="n"/>
      <c r="L126" s="1197" t="n"/>
      <c r="M126" s="1197">
        <f>C126-D126-F126-H126</f>
        <v/>
      </c>
      <c r="N126" s="1102">
        <f>M126*0.5/100</f>
        <v/>
      </c>
    </row>
    <row r="127" ht="18.75" customFormat="1" customHeight="1" s="1">
      <c r="A127" s="351" t="n"/>
      <c r="B127" s="351" t="n"/>
      <c r="C127" s="1101" t="n"/>
      <c r="D127" s="1197" t="n"/>
      <c r="E127" s="140">
        <f>+D127</f>
        <v/>
      </c>
      <c r="F127" s="1197" t="n"/>
      <c r="G127" s="1197">
        <f>+F127</f>
        <v/>
      </c>
      <c r="H127" s="1197" t="n"/>
      <c r="I127" s="347" t="n"/>
      <c r="J127" s="1006" t="n"/>
      <c r="K127" s="1006" t="n"/>
      <c r="L127" s="1197" t="n"/>
      <c r="M127" s="1197">
        <f>C127-D127-F127-H127</f>
        <v/>
      </c>
      <c r="N127" s="1102">
        <f>M127*0.5/100</f>
        <v/>
      </c>
    </row>
    <row r="128" ht="18.75" customFormat="1" customHeight="1" s="1">
      <c r="A128" s="351" t="n"/>
      <c r="B128" s="351" t="n"/>
      <c r="C128" s="1101" t="n"/>
      <c r="D128" s="1101" t="n"/>
      <c r="E128" s="140">
        <f>+D128</f>
        <v/>
      </c>
      <c r="F128" s="1197" t="n"/>
      <c r="G128" s="1197" t="n"/>
      <c r="H128" s="1197" t="n"/>
      <c r="I128" s="347" t="n"/>
      <c r="J128" s="1006" t="n"/>
      <c r="K128" s="1006" t="n"/>
      <c r="L128" s="1197" t="n"/>
      <c r="M128" s="1197">
        <f>C128-D128-F128-H128</f>
        <v/>
      </c>
      <c r="N128" s="1102">
        <f>M128*0.5/100</f>
        <v/>
      </c>
    </row>
    <row r="129" ht="18.75" customFormat="1" customHeight="1" s="1">
      <c r="A129" s="351" t="n"/>
      <c r="B129" s="351" t="n"/>
      <c r="C129" s="1101" t="n"/>
      <c r="D129" s="1101" t="n"/>
      <c r="E129" s="140">
        <f>+D129</f>
        <v/>
      </c>
      <c r="F129" s="1197" t="n"/>
      <c r="G129" s="1197">
        <f>+F129</f>
        <v/>
      </c>
      <c r="H129" s="1197" t="n"/>
      <c r="I129" s="347" t="n"/>
      <c r="J129" s="1006" t="n"/>
      <c r="K129" s="1006" t="n"/>
      <c r="L129" s="1197" t="n"/>
      <c r="M129" s="1197">
        <f>C129-D129-F129-H129</f>
        <v/>
      </c>
      <c r="N129" s="1102">
        <f>M129*0.5/100</f>
        <v/>
      </c>
    </row>
    <row r="130" ht="18.75" customFormat="1" customHeight="1" s="1">
      <c r="A130" s="351" t="n"/>
      <c r="B130" s="351" t="n"/>
      <c r="C130" s="1101" t="n"/>
      <c r="D130" s="1197" t="n"/>
      <c r="E130" s="140">
        <f>+D130</f>
        <v/>
      </c>
      <c r="F130" s="1197" t="n"/>
      <c r="G130" s="1197" t="n"/>
      <c r="H130" s="1197" t="n"/>
      <c r="I130" s="347" t="n"/>
      <c r="J130" s="1006" t="n"/>
      <c r="K130" s="1006" t="n"/>
      <c r="L130" s="1197" t="n"/>
      <c r="M130" s="1197">
        <f>C130-D130-F130-H130</f>
        <v/>
      </c>
      <c r="N130" s="1102">
        <f>M130*0.5/100</f>
        <v/>
      </c>
    </row>
    <row r="131" ht="18.75" customFormat="1" customHeight="1" s="1">
      <c r="A131" s="351" t="n"/>
      <c r="B131" s="351" t="n"/>
      <c r="C131" s="1101" t="n"/>
      <c r="D131" s="1197" t="n"/>
      <c r="E131" s="140">
        <f>+D131</f>
        <v/>
      </c>
      <c r="F131" s="1197" t="n"/>
      <c r="G131" s="1197" t="n"/>
      <c r="H131" s="1197" t="n"/>
      <c r="I131" s="347" t="n"/>
      <c r="J131" s="1006" t="n"/>
      <c r="K131" s="1006" t="n"/>
      <c r="L131" s="1197" t="n"/>
      <c r="M131" s="1197">
        <f>C131-D131-F131-H131</f>
        <v/>
      </c>
      <c r="N131" s="1102">
        <f>M131*0.5/100</f>
        <v/>
      </c>
    </row>
    <row r="132" ht="18.75" customFormat="1" customHeight="1" s="1">
      <c r="A132" s="351" t="n"/>
      <c r="B132" s="351" t="n"/>
      <c r="C132" s="1101" t="n"/>
      <c r="D132" s="1101" t="n"/>
      <c r="E132" s="140">
        <f>+D132</f>
        <v/>
      </c>
      <c r="F132" s="1197" t="n"/>
      <c r="G132" s="1197" t="n"/>
      <c r="H132" s="1197" t="n"/>
      <c r="I132" s="347" t="n"/>
      <c r="J132" s="1006" t="n"/>
      <c r="K132" s="1006" t="n"/>
      <c r="L132" s="1197" t="n"/>
      <c r="M132" s="1197">
        <f>C132-D132-F132-H132</f>
        <v/>
      </c>
      <c r="N132" s="1102">
        <f>M132*0.5/100</f>
        <v/>
      </c>
    </row>
    <row r="133" ht="18.75" customFormat="1" customHeight="1" s="1">
      <c r="A133" s="351" t="n"/>
      <c r="B133" s="351" t="n"/>
      <c r="C133" s="347" t="n"/>
      <c r="D133" s="1197" t="n"/>
      <c r="E133" s="140">
        <f>+D133</f>
        <v/>
      </c>
      <c r="F133" s="1197" t="n"/>
      <c r="G133" s="1197" t="n"/>
      <c r="H133" s="1197" t="n"/>
      <c r="I133" s="347" t="n"/>
      <c r="J133" s="1006" t="n"/>
      <c r="K133" s="1006" t="n"/>
      <c r="L133" s="1197" t="n"/>
      <c r="M133" s="1197">
        <f>C133-D133-F133-H133</f>
        <v/>
      </c>
      <c r="N133" s="1102">
        <f>M133*0.5/100</f>
        <v/>
      </c>
    </row>
    <row r="134" ht="18.75" customFormat="1" customHeight="1" s="1">
      <c r="A134" s="351" t="n"/>
      <c r="B134" s="351" t="n"/>
      <c r="C134" s="347" t="n"/>
      <c r="D134" s="347" t="n"/>
      <c r="E134" s="140">
        <f>+D134</f>
        <v/>
      </c>
      <c r="F134" s="1197" t="n"/>
      <c r="G134" s="1197" t="n"/>
      <c r="H134" s="1197" t="n"/>
      <c r="I134" s="347" t="n"/>
      <c r="J134" s="1006" t="n"/>
      <c r="K134" s="1006" t="n"/>
      <c r="L134" s="1197" t="n"/>
      <c r="M134" s="1197">
        <f>C134-D134-F134-H134</f>
        <v/>
      </c>
      <c r="N134" s="1102">
        <f>M134*0.5/100</f>
        <v/>
      </c>
    </row>
    <row r="135" ht="18.75" customFormat="1" customHeight="1" s="1">
      <c r="A135" s="351" t="n"/>
      <c r="B135" s="351" t="n"/>
      <c r="C135" s="347" t="n"/>
      <c r="D135" s="347" t="n"/>
      <c r="E135" s="140">
        <f>+D135</f>
        <v/>
      </c>
      <c r="F135" s="1197" t="n"/>
      <c r="G135" s="1197">
        <f>+F135</f>
        <v/>
      </c>
      <c r="H135" s="1197" t="n"/>
      <c r="I135" s="347" t="n"/>
      <c r="J135" s="1006" t="n"/>
      <c r="K135" s="1006" t="n"/>
      <c r="L135" s="1197" t="n"/>
      <c r="M135" s="1197">
        <f>C135-D135-F135-H135</f>
        <v/>
      </c>
      <c r="N135" s="1102">
        <f>M135*0.5/100</f>
        <v/>
      </c>
    </row>
    <row r="136" ht="18.75" customFormat="1" customHeight="1" s="1">
      <c r="A136" s="351" t="n"/>
      <c r="B136" s="351" t="n"/>
      <c r="C136" s="347" t="n"/>
      <c r="D136" s="1197" t="n"/>
      <c r="E136" s="140">
        <f>+D136</f>
        <v/>
      </c>
      <c r="F136" s="1197" t="n"/>
      <c r="G136" s="1197" t="n"/>
      <c r="H136" s="1197" t="n"/>
      <c r="I136" s="347" t="n"/>
      <c r="J136" s="1006" t="n"/>
      <c r="K136" s="1006" t="n"/>
      <c r="L136" s="1197" t="n"/>
      <c r="M136" s="1197">
        <f>C136-D136-F136-H136</f>
        <v/>
      </c>
      <c r="N136" s="1102">
        <f>M136*0.5/100</f>
        <v/>
      </c>
    </row>
    <row r="137" ht="18.75" customFormat="1" customHeight="1" s="1">
      <c r="A137" s="351" t="n"/>
      <c r="B137" s="351" t="n"/>
      <c r="C137" s="347" t="n"/>
      <c r="D137" s="347" t="n"/>
      <c r="E137" s="140">
        <f>+D137</f>
        <v/>
      </c>
      <c r="F137" s="1197" t="n"/>
      <c r="G137" s="1197" t="n"/>
      <c r="H137" s="1197" t="n"/>
      <c r="I137" s="347" t="n"/>
      <c r="J137" s="1006" t="n"/>
      <c r="K137" s="1006" t="n"/>
      <c r="L137" s="1197" t="n"/>
      <c r="M137" s="1197">
        <f>C137-D137-F137-H137</f>
        <v/>
      </c>
      <c r="N137" s="1102">
        <f>M137*0.5/100</f>
        <v/>
      </c>
    </row>
    <row r="138" ht="18.75" customFormat="1" customHeight="1" s="1">
      <c r="A138" s="351" t="n"/>
      <c r="B138" s="351" t="n"/>
      <c r="C138" s="347" t="n"/>
      <c r="D138" s="1197" t="n"/>
      <c r="E138" s="140">
        <f>+D138</f>
        <v/>
      </c>
      <c r="F138" s="1197" t="n"/>
      <c r="G138" s="1197">
        <f>+F138</f>
        <v/>
      </c>
      <c r="H138" s="1197" t="n"/>
      <c r="I138" s="347" t="n"/>
      <c r="J138" s="1006" t="n"/>
      <c r="K138" s="1006" t="n"/>
      <c r="L138" s="1197" t="n"/>
      <c r="M138" s="1197">
        <f>C138-D138-F138-H138</f>
        <v/>
      </c>
      <c r="N138" s="1102">
        <f>M138*0.5/100</f>
        <v/>
      </c>
    </row>
    <row r="139" ht="18.75" customFormat="1" customHeight="1" s="1">
      <c r="A139" s="351" t="n"/>
      <c r="B139" s="351" t="n"/>
      <c r="C139" s="347" t="n"/>
      <c r="D139" s="1197" t="n"/>
      <c r="E139" s="140">
        <f>+D139</f>
        <v/>
      </c>
      <c r="F139" s="1197" t="n"/>
      <c r="G139" s="1197" t="n"/>
      <c r="H139" s="1197" t="n"/>
      <c r="I139" s="347" t="n"/>
      <c r="J139" s="1006" t="n"/>
      <c r="K139" s="1006" t="n"/>
      <c r="L139" s="1197" t="n"/>
      <c r="M139" s="1197">
        <f>C139-D139-F139-H139</f>
        <v/>
      </c>
      <c r="N139" s="1102">
        <f>M139*0.5/100</f>
        <v/>
      </c>
    </row>
    <row r="140" ht="18.75" customFormat="1" customHeight="1" s="1">
      <c r="A140" s="351" t="n"/>
      <c r="B140" s="351" t="n"/>
      <c r="C140" s="347" t="n"/>
      <c r="D140" s="347" t="n"/>
      <c r="E140" s="140">
        <f>+D140</f>
        <v/>
      </c>
      <c r="F140" s="1197" t="n"/>
      <c r="G140" s="1197">
        <f>+F140</f>
        <v/>
      </c>
      <c r="H140" s="1197" t="n"/>
      <c r="I140" s="347" t="n"/>
      <c r="J140" s="1006" t="n"/>
      <c r="K140" s="1006" t="n"/>
      <c r="L140" s="1197" t="n"/>
      <c r="M140" s="1197">
        <f>C140-D140-F140-H140</f>
        <v/>
      </c>
      <c r="N140" s="1102">
        <f>M140*0.5/100</f>
        <v/>
      </c>
    </row>
    <row r="141" ht="18.75" customFormat="1" customHeight="1" s="1">
      <c r="A141" s="351" t="n"/>
      <c r="B141" s="351" t="n"/>
      <c r="C141" s="347" t="n"/>
      <c r="D141" s="1197" t="n"/>
      <c r="E141" s="140">
        <f>+D141</f>
        <v/>
      </c>
      <c r="F141" s="1197" t="n"/>
      <c r="G141" s="1197">
        <f>+F141</f>
        <v/>
      </c>
      <c r="H141" s="1197" t="n"/>
      <c r="I141" s="347" t="n"/>
      <c r="J141" s="1006" t="n"/>
      <c r="K141" s="1006" t="n"/>
      <c r="L141" s="1197" t="n"/>
      <c r="M141" s="1197">
        <f>C141-D141-F141-H141</f>
        <v/>
      </c>
      <c r="N141" s="1102">
        <f>M141*0.5/100</f>
        <v/>
      </c>
    </row>
    <row r="142" ht="18.75" customFormat="1" customHeight="1" s="1">
      <c r="A142" s="351" t="n"/>
      <c r="B142" s="351" t="n"/>
      <c r="C142" s="1101" t="n"/>
      <c r="D142" s="1197" t="n"/>
      <c r="E142" s="140">
        <f>+D142</f>
        <v/>
      </c>
      <c r="F142" s="1197" t="n"/>
      <c r="G142" s="1197" t="n"/>
      <c r="H142" s="1197" t="n"/>
      <c r="I142" s="347" t="n"/>
      <c r="J142" s="1006" t="n"/>
      <c r="K142" s="1006" t="n"/>
      <c r="L142" s="1197" t="n"/>
      <c r="M142" s="1197">
        <f>C142-D142-F142-H142</f>
        <v/>
      </c>
      <c r="N142" s="1102">
        <f>M142*0.5/100</f>
        <v/>
      </c>
    </row>
    <row r="143" ht="18.75" customFormat="1" customHeight="1" s="1">
      <c r="A143" s="351" t="n"/>
      <c r="B143" s="351" t="n"/>
      <c r="C143" s="1101" t="n"/>
      <c r="D143" s="1197" t="n"/>
      <c r="E143" s="140">
        <f>+D143</f>
        <v/>
      </c>
      <c r="F143" s="1197" t="n"/>
      <c r="G143" s="1197" t="n"/>
      <c r="H143" s="1197" t="n"/>
      <c r="I143" s="347" t="n"/>
      <c r="J143" s="1006" t="n"/>
      <c r="K143" s="1006" t="n"/>
      <c r="L143" s="1197" t="n"/>
      <c r="M143" s="1197">
        <f>C143-D143-F143-H143</f>
        <v/>
      </c>
      <c r="N143" s="1102">
        <f>M143*0.5/100</f>
        <v/>
      </c>
    </row>
    <row r="144" ht="18.75" customFormat="1" customHeight="1" s="1">
      <c r="A144" s="351" t="n"/>
      <c r="B144" s="351" t="n"/>
      <c r="C144" s="1101" t="n"/>
      <c r="D144" s="1197" t="n"/>
      <c r="E144" s="140">
        <f>+D144</f>
        <v/>
      </c>
      <c r="F144" s="1197" t="n"/>
      <c r="G144" s="1197" t="n"/>
      <c r="H144" s="1197" t="n"/>
      <c r="I144" s="347" t="n"/>
      <c r="J144" s="1006" t="n"/>
      <c r="K144" s="1006" t="n"/>
      <c r="L144" s="1197" t="n"/>
      <c r="M144" s="1197">
        <f>C144-D144-F144-H144</f>
        <v/>
      </c>
      <c r="N144" s="1102">
        <f>M144*0.5/100</f>
        <v/>
      </c>
    </row>
    <row r="145" ht="18.75" customFormat="1" customHeight="1" s="1">
      <c r="A145" s="351" t="n"/>
      <c r="B145" s="351" t="n"/>
      <c r="C145" s="1101" t="n"/>
      <c r="D145" s="1197" t="n"/>
      <c r="E145" s="140">
        <f>+D145</f>
        <v/>
      </c>
      <c r="F145" s="1197" t="n"/>
      <c r="G145" s="1197">
        <f>+F145</f>
        <v/>
      </c>
      <c r="H145" s="1197" t="n"/>
      <c r="I145" s="347" t="n"/>
      <c r="J145" s="1006" t="n"/>
      <c r="K145" s="1006" t="n"/>
      <c r="L145" s="1197" t="n"/>
      <c r="M145" s="1197">
        <f>C145-D145-F145-H145</f>
        <v/>
      </c>
      <c r="N145" s="1102">
        <f>M145*0.5/100</f>
        <v/>
      </c>
    </row>
    <row r="146" ht="18.75" customFormat="1" customHeight="1" s="1">
      <c r="A146" s="351" t="n"/>
      <c r="B146" s="351" t="n"/>
      <c r="C146" s="1101" t="n"/>
      <c r="D146" s="347" t="n"/>
      <c r="E146" s="140">
        <f>+D146</f>
        <v/>
      </c>
      <c r="F146" s="1197" t="n"/>
      <c r="G146" s="1197" t="n"/>
      <c r="H146" s="1197" t="n"/>
      <c r="I146" s="347" t="n"/>
      <c r="J146" s="1006" t="n"/>
      <c r="K146" s="1006" t="n"/>
      <c r="L146" s="1197" t="n"/>
      <c r="M146" s="1197">
        <f>C146-D146-F146-H146</f>
        <v/>
      </c>
      <c r="N146" s="1102">
        <f>M146*0.5/100</f>
        <v/>
      </c>
    </row>
    <row r="147" ht="18.75" customFormat="1" customHeight="1" s="1">
      <c r="A147" s="351" t="n"/>
      <c r="B147" s="351" t="n"/>
      <c r="C147" s="1101" t="n"/>
      <c r="D147" s="1197" t="n"/>
      <c r="E147" s="140">
        <f>+D147</f>
        <v/>
      </c>
      <c r="F147" s="1197" t="n"/>
      <c r="G147" s="1197" t="n"/>
      <c r="H147" s="1197" t="n"/>
      <c r="I147" s="347" t="n"/>
      <c r="J147" s="1006" t="n"/>
      <c r="K147" s="1006" t="n"/>
      <c r="L147" s="1197" t="n"/>
      <c r="M147" s="1197">
        <f>C147-D147-F147-H147</f>
        <v/>
      </c>
      <c r="N147" s="1102">
        <f>M147*0.5/100</f>
        <v/>
      </c>
    </row>
    <row r="148" ht="18.75" customFormat="1" customHeight="1" s="1">
      <c r="A148" s="351" t="n"/>
      <c r="B148" s="351" t="n"/>
      <c r="C148" s="1101" t="n"/>
      <c r="D148" s="347" t="n"/>
      <c r="E148" s="140">
        <f>+D148</f>
        <v/>
      </c>
      <c r="F148" s="1197" t="n"/>
      <c r="G148" s="1197" t="n"/>
      <c r="H148" s="1197" t="n"/>
      <c r="I148" s="347" t="n"/>
      <c r="J148" s="1006" t="n"/>
      <c r="K148" s="1006" t="n"/>
      <c r="L148" s="1197" t="n"/>
      <c r="M148" s="1197">
        <f>C148-D148-F148-H148</f>
        <v/>
      </c>
      <c r="N148" s="1102">
        <f>M148*0.5/100</f>
        <v/>
      </c>
    </row>
    <row r="149" ht="18.75" customFormat="1" customHeight="1" s="1">
      <c r="A149" s="351" t="n"/>
      <c r="B149" s="351" t="n"/>
      <c r="C149" s="1101" t="n"/>
      <c r="D149" s="1197" t="n"/>
      <c r="E149" s="140">
        <f>+D149</f>
        <v/>
      </c>
      <c r="F149" s="1197" t="n"/>
      <c r="G149" s="1197">
        <f>+F149</f>
        <v/>
      </c>
      <c r="H149" s="1197" t="n"/>
      <c r="I149" s="347" t="n"/>
      <c r="J149" s="1006" t="n"/>
      <c r="K149" s="1006" t="n"/>
      <c r="L149" s="1197" t="n"/>
      <c r="M149" s="1197">
        <f>C149-D149-F149-H149</f>
        <v/>
      </c>
      <c r="N149" s="1102">
        <f>M149*0.5/100</f>
        <v/>
      </c>
    </row>
    <row r="150" ht="18.75" customFormat="1" customHeight="1" s="1">
      <c r="A150" s="351" t="n"/>
      <c r="B150" s="351" t="n"/>
      <c r="C150" s="1101" t="n"/>
      <c r="D150" s="347" t="n"/>
      <c r="E150" s="140">
        <f>+D150</f>
        <v/>
      </c>
      <c r="F150" s="1197" t="n"/>
      <c r="G150" s="1197" t="n"/>
      <c r="H150" s="1197" t="n"/>
      <c r="I150" s="347" t="n"/>
      <c r="J150" s="1006" t="n"/>
      <c r="K150" s="1006" t="n"/>
      <c r="L150" s="1197" t="n"/>
      <c r="M150" s="1197">
        <f>C150-D150-F150-H150</f>
        <v/>
      </c>
      <c r="N150" s="1102">
        <f>M150*0.5/100</f>
        <v/>
      </c>
    </row>
    <row r="151" ht="18.75" customFormat="1" customHeight="1" s="1">
      <c r="A151" s="351" t="n"/>
      <c r="B151" s="351" t="n"/>
      <c r="C151" s="1101" t="n"/>
      <c r="D151" s="1197" t="n"/>
      <c r="E151" s="140">
        <f>+D151</f>
        <v/>
      </c>
      <c r="F151" s="1197" t="n"/>
      <c r="G151" s="1197" t="n"/>
      <c r="H151" s="1197" t="n"/>
      <c r="I151" s="347" t="n"/>
      <c r="J151" s="1006" t="n"/>
      <c r="K151" s="1006" t="n"/>
      <c r="L151" s="1197" t="n"/>
      <c r="M151" s="1197">
        <f>C151-D151-F151-H151</f>
        <v/>
      </c>
      <c r="N151" s="1102">
        <f>M151*0.5/100</f>
        <v/>
      </c>
    </row>
    <row r="152" ht="18.75" customFormat="1" customHeight="1" s="1">
      <c r="A152" s="351" t="n"/>
      <c r="B152" s="351" t="n"/>
      <c r="C152" s="1101" t="n"/>
      <c r="D152" s="1197" t="n"/>
      <c r="E152" s="140">
        <f>+D152</f>
        <v/>
      </c>
      <c r="F152" s="1197" t="n"/>
      <c r="G152" s="1197" t="n"/>
      <c r="H152" s="1197" t="n"/>
      <c r="I152" s="347" t="n"/>
      <c r="J152" s="1006" t="n"/>
      <c r="K152" s="1006" t="n"/>
      <c r="L152" s="1197" t="n"/>
      <c r="M152" s="1197">
        <f>C152-D152-F152-H152</f>
        <v/>
      </c>
      <c r="N152" s="1102">
        <f>M152*0.5/100</f>
        <v/>
      </c>
    </row>
    <row r="153" ht="18.75" customFormat="1" customHeight="1" s="1">
      <c r="A153" s="351" t="n"/>
      <c r="B153" s="351" t="n"/>
      <c r="C153" s="1101" t="n"/>
      <c r="D153" s="347" t="n"/>
      <c r="E153" s="140">
        <f>+D153</f>
        <v/>
      </c>
      <c r="F153" s="1197" t="n"/>
      <c r="G153" s="1197" t="n"/>
      <c r="H153" s="1197" t="n"/>
      <c r="I153" s="347" t="n"/>
      <c r="J153" s="1006" t="n"/>
      <c r="K153" s="1006" t="n"/>
      <c r="L153" s="1197" t="n"/>
      <c r="M153" s="1197">
        <f>C153-D153-F153-H153</f>
        <v/>
      </c>
      <c r="N153" s="1102">
        <f>M153*0.5/100</f>
        <v/>
      </c>
    </row>
    <row r="154" ht="18.75" customFormat="1" customHeight="1" s="1">
      <c r="A154" s="351" t="n"/>
      <c r="B154" s="351" t="n"/>
      <c r="C154" s="1101" t="n"/>
      <c r="D154" s="347" t="n"/>
      <c r="E154" s="140">
        <f>+D154</f>
        <v/>
      </c>
      <c r="F154" s="1197" t="n"/>
      <c r="G154" s="1197">
        <f>+F154</f>
        <v/>
      </c>
      <c r="H154" s="1197" t="n"/>
      <c r="I154" s="347" t="n"/>
      <c r="J154" s="1006" t="n"/>
      <c r="K154" s="1006" t="n"/>
      <c r="L154" s="1197" t="n"/>
      <c r="M154" s="1197">
        <f>C154-D154-F154-H154</f>
        <v/>
      </c>
      <c r="N154" s="1102">
        <f>M154*0.5/100</f>
        <v/>
      </c>
    </row>
    <row r="155" ht="18.75" customFormat="1" customHeight="1" s="1">
      <c r="A155" s="351" t="n"/>
      <c r="B155" s="351" t="n"/>
      <c r="C155" s="1101" t="n"/>
      <c r="D155" s="347" t="n"/>
      <c r="E155" s="140">
        <f>+D155</f>
        <v/>
      </c>
      <c r="F155" s="1197" t="n"/>
      <c r="G155" s="1197" t="n"/>
      <c r="H155" s="1197" t="n"/>
      <c r="I155" s="347" t="n"/>
      <c r="J155" s="1006" t="n"/>
      <c r="K155" s="1006" t="n"/>
      <c r="L155" s="1197" t="n"/>
      <c r="M155" s="1197">
        <f>C155-D155-F155-H155</f>
        <v/>
      </c>
      <c r="N155" s="1102">
        <f>M155*0.5/100</f>
        <v/>
      </c>
    </row>
    <row r="156" ht="18.75" customFormat="1" customHeight="1" s="1">
      <c r="A156" s="351" t="n"/>
      <c r="B156" s="351" t="n"/>
      <c r="C156" s="1101" t="n"/>
      <c r="D156" s="347" t="n"/>
      <c r="E156" s="140">
        <f>+D156</f>
        <v/>
      </c>
      <c r="F156" s="1197" t="n"/>
      <c r="G156" s="1197" t="n"/>
      <c r="H156" s="1197" t="n"/>
      <c r="I156" s="347" t="n"/>
      <c r="J156" s="1006" t="n"/>
      <c r="K156" s="1006" t="n"/>
      <c r="L156" s="1197" t="n"/>
      <c r="M156" s="1197">
        <f>C156-D156-F156-H156</f>
        <v/>
      </c>
      <c r="N156" s="1102">
        <f>M156*0.5/100</f>
        <v/>
      </c>
    </row>
    <row r="157" ht="18.75" customFormat="1" customHeight="1" s="1">
      <c r="A157" s="351" t="n"/>
      <c r="B157" s="351" t="n"/>
      <c r="C157" s="1101" t="n"/>
      <c r="D157" s="1101" t="n"/>
      <c r="E157" s="140">
        <f>+D157</f>
        <v/>
      </c>
      <c r="F157" s="1197" t="n"/>
      <c r="G157" s="1197" t="n"/>
      <c r="H157" s="1197" t="n"/>
      <c r="I157" s="347" t="n"/>
      <c r="J157" s="1006" t="n"/>
      <c r="K157" s="1006" t="n"/>
      <c r="L157" s="1197" t="n"/>
      <c r="M157" s="1197">
        <f>C157-D157-F157-H157</f>
        <v/>
      </c>
      <c r="N157" s="1102">
        <f>M157*0.5/100</f>
        <v/>
      </c>
    </row>
    <row r="158" ht="18.75" customFormat="1" customHeight="1" s="1">
      <c r="A158" s="351" t="n"/>
      <c r="B158" s="351" t="n"/>
      <c r="C158" s="1101" t="n"/>
      <c r="D158" s="1101" t="n"/>
      <c r="E158" s="140">
        <f>+D158</f>
        <v/>
      </c>
      <c r="F158" s="1197" t="n"/>
      <c r="G158" s="1197">
        <f>+F158</f>
        <v/>
      </c>
      <c r="H158" s="1197" t="n"/>
      <c r="I158" s="347" t="n"/>
      <c r="J158" s="1006" t="n"/>
      <c r="K158" s="1006" t="n"/>
      <c r="L158" s="1197" t="n"/>
      <c r="M158" s="1197">
        <f>C158-D158-F158-H158</f>
        <v/>
      </c>
      <c r="N158" s="1102">
        <f>M158*0.5/100</f>
        <v/>
      </c>
    </row>
    <row r="159" ht="18.75" customFormat="1" customHeight="1" s="1">
      <c r="A159" s="351" t="n"/>
      <c r="B159" s="351" t="n"/>
      <c r="C159" s="1101" t="n"/>
      <c r="D159" s="1101" t="n"/>
      <c r="E159" s="140">
        <f>+D159</f>
        <v/>
      </c>
      <c r="F159" s="1197" t="n"/>
      <c r="G159" s="1197" t="n"/>
      <c r="H159" s="1197" t="n"/>
      <c r="I159" s="347" t="n"/>
      <c r="J159" s="1006" t="n"/>
      <c r="K159" s="1006" t="n"/>
      <c r="L159" s="1197" t="n"/>
      <c r="M159" s="1197">
        <f>C159-D159-F159-H159</f>
        <v/>
      </c>
      <c r="N159" s="1102">
        <f>M159*0.5/100</f>
        <v/>
      </c>
    </row>
    <row r="160" ht="18.75" customFormat="1" customHeight="1" s="1">
      <c r="A160" s="351" t="n"/>
      <c r="B160" s="351" t="n"/>
      <c r="C160" s="347" t="n"/>
      <c r="D160" s="347" t="n"/>
      <c r="E160" s="140">
        <f>+D160</f>
        <v/>
      </c>
      <c r="F160" s="1197" t="n"/>
      <c r="G160" s="1197" t="n"/>
      <c r="H160" s="1197" t="n"/>
      <c r="I160" s="347" t="n"/>
      <c r="J160" s="1006" t="n"/>
      <c r="K160" s="1006" t="n"/>
      <c r="L160" s="1197" t="n"/>
      <c r="M160" s="1197">
        <f>C160-D160-F160-H160</f>
        <v/>
      </c>
      <c r="N160" s="1102">
        <f>M160*0.5/100</f>
        <v/>
      </c>
    </row>
    <row r="161" ht="18.75" customFormat="1" customHeight="1" s="1">
      <c r="A161" s="351" t="n"/>
      <c r="B161" s="351" t="n"/>
      <c r="C161" s="347" t="n"/>
      <c r="D161" s="347" t="n"/>
      <c r="E161" s="140">
        <f>+D161</f>
        <v/>
      </c>
      <c r="F161" s="1197" t="n"/>
      <c r="G161" s="1197" t="n"/>
      <c r="H161" s="1197" t="n"/>
      <c r="I161" s="347" t="n"/>
      <c r="J161" s="1006" t="n"/>
      <c r="K161" s="1006" t="n"/>
      <c r="L161" s="1197" t="n"/>
      <c r="M161" s="1197">
        <f>C161-D161-F161-H161</f>
        <v/>
      </c>
      <c r="N161" s="1102">
        <f>M161*0.5/100</f>
        <v/>
      </c>
    </row>
    <row r="162" ht="18.75" customFormat="1" customHeight="1" s="1">
      <c r="A162" s="351" t="n"/>
      <c r="B162" s="351" t="n"/>
      <c r="C162" s="347" t="n"/>
      <c r="D162" s="347" t="n"/>
      <c r="E162" s="140">
        <f>+D162</f>
        <v/>
      </c>
      <c r="F162" s="1197" t="n"/>
      <c r="G162" s="1197" t="n"/>
      <c r="H162" s="1197" t="n"/>
      <c r="I162" s="347" t="n"/>
      <c r="J162" s="1006" t="n"/>
      <c r="K162" s="1006" t="n"/>
      <c r="L162" s="1197" t="n"/>
      <c r="M162" s="1197">
        <f>C162-D162-F162-H162</f>
        <v/>
      </c>
      <c r="N162" s="1102">
        <f>M162*0.5/100</f>
        <v/>
      </c>
    </row>
    <row r="163" ht="18.75" customFormat="1" customHeight="1" s="1">
      <c r="A163" s="351" t="n"/>
      <c r="B163" s="351" t="n"/>
      <c r="C163" s="347" t="n"/>
      <c r="D163" s="347" t="n"/>
      <c r="E163" s="140">
        <f>+D163</f>
        <v/>
      </c>
      <c r="F163" s="1197" t="n"/>
      <c r="G163" s="1197" t="n"/>
      <c r="H163" s="1197" t="n"/>
      <c r="I163" s="347" t="n"/>
      <c r="J163" s="1006" t="n"/>
      <c r="K163" s="1006" t="n"/>
      <c r="L163" s="1197" t="n"/>
      <c r="M163" s="1197">
        <f>C163-D163-F163-H163</f>
        <v/>
      </c>
      <c r="N163" s="1102">
        <f>M163*0.5/100</f>
        <v/>
      </c>
    </row>
    <row r="164" ht="18.75" customFormat="1" customHeight="1" s="1">
      <c r="A164" s="351" t="n"/>
      <c r="B164" s="351" t="n"/>
      <c r="C164" s="347" t="n"/>
      <c r="D164" s="347" t="n"/>
      <c r="E164" s="140">
        <f>+D164</f>
        <v/>
      </c>
      <c r="F164" s="1197" t="n"/>
      <c r="G164" s="1197" t="n"/>
      <c r="H164" s="1197" t="n"/>
      <c r="I164" s="347" t="n"/>
      <c r="J164" s="1006" t="n"/>
      <c r="K164" s="1006" t="n"/>
      <c r="L164" s="1197" t="n"/>
      <c r="M164" s="1197">
        <f>C164-D164-F164-H164</f>
        <v/>
      </c>
      <c r="N164" s="1102">
        <f>M164*0.5/100</f>
        <v/>
      </c>
    </row>
    <row r="165" ht="18.75" customFormat="1" customHeight="1" s="1">
      <c r="A165" s="351" t="n"/>
      <c r="B165" s="351" t="n"/>
      <c r="C165" s="347" t="n"/>
      <c r="D165" s="347" t="n"/>
      <c r="E165" s="140">
        <f>+D165</f>
        <v/>
      </c>
      <c r="F165" s="1197" t="n"/>
      <c r="G165" s="1197">
        <f>+F165</f>
        <v/>
      </c>
      <c r="H165" s="1197" t="n"/>
      <c r="I165" s="347" t="n"/>
      <c r="J165" s="1006" t="n"/>
      <c r="K165" s="1006" t="n"/>
      <c r="L165" s="1197" t="n"/>
      <c r="M165" s="1197">
        <f>C165-D165-F165-H165</f>
        <v/>
      </c>
      <c r="N165" s="1102">
        <f>M165*0.5/100</f>
        <v/>
      </c>
    </row>
    <row r="166" ht="18.75" customFormat="1" customHeight="1" s="1">
      <c r="A166" s="351" t="n"/>
      <c r="B166" s="351" t="n"/>
      <c r="C166" s="347" t="n"/>
      <c r="D166" s="347" t="n"/>
      <c r="E166" s="140">
        <f>+D166</f>
        <v/>
      </c>
      <c r="F166" s="1197" t="n"/>
      <c r="G166" s="1197">
        <f>+F166</f>
        <v/>
      </c>
      <c r="H166" s="1197" t="n"/>
      <c r="I166" s="347" t="n"/>
      <c r="J166" s="1006" t="n"/>
      <c r="K166" s="1006" t="n"/>
      <c r="L166" s="1197" t="n"/>
      <c r="M166" s="1197">
        <f>C166-D166-F166-H166</f>
        <v/>
      </c>
      <c r="N166" s="1102">
        <f>M166*0.5/100</f>
        <v/>
      </c>
    </row>
    <row r="167" ht="18.75" customFormat="1" customHeight="1" s="1">
      <c r="A167" s="351" t="n"/>
      <c r="B167" s="351" t="n"/>
      <c r="C167" s="347" t="n"/>
      <c r="D167" s="347" t="n"/>
      <c r="E167" s="140">
        <f>+D167</f>
        <v/>
      </c>
      <c r="F167" s="1197" t="n"/>
      <c r="G167" s="1197">
        <f>+F167</f>
        <v/>
      </c>
      <c r="H167" s="1197" t="n"/>
      <c r="I167" s="347" t="n"/>
      <c r="J167" s="347" t="n"/>
      <c r="K167" s="1006" t="n"/>
      <c r="L167" s="1197" t="n"/>
      <c r="M167" s="1197">
        <f>C167-D167-F167-H167</f>
        <v/>
      </c>
      <c r="N167" s="1102">
        <f>M167*0.5/100</f>
        <v/>
      </c>
    </row>
    <row r="168" ht="18.75" customFormat="1" customHeight="1" s="1">
      <c r="A168" s="351" t="n"/>
      <c r="B168" s="351" t="n"/>
      <c r="C168" s="347" t="n"/>
      <c r="D168" s="347" t="n"/>
      <c r="E168" s="140">
        <f>+D168</f>
        <v/>
      </c>
      <c r="F168" s="1197" t="n"/>
      <c r="G168" s="1197" t="n"/>
      <c r="H168" s="1197" t="n"/>
      <c r="I168" s="347" t="n"/>
      <c r="J168" s="1006" t="n"/>
      <c r="K168" s="1006" t="n"/>
      <c r="L168" s="1197" t="n"/>
      <c r="M168" s="1197">
        <f>C168-D168-F168-H168</f>
        <v/>
      </c>
      <c r="N168" s="1102">
        <f>M168*0.5/100</f>
        <v/>
      </c>
    </row>
    <row r="169" ht="18.75" customFormat="1" customHeight="1" s="1">
      <c r="A169" s="351" t="n"/>
      <c r="B169" s="351" t="n"/>
      <c r="C169" s="347" t="n"/>
      <c r="D169" s="347" t="n"/>
      <c r="E169" s="140">
        <f>+D169</f>
        <v/>
      </c>
      <c r="F169" s="1197" t="n"/>
      <c r="G169" s="1197" t="n"/>
      <c r="H169" s="1197" t="n"/>
      <c r="I169" s="347" t="n"/>
      <c r="J169" s="1006" t="n"/>
      <c r="K169" s="1006" t="n"/>
      <c r="L169" s="1197" t="n"/>
      <c r="M169" s="1197">
        <f>C169-D169-F169-H169</f>
        <v/>
      </c>
      <c r="N169" s="1102">
        <f>M169*0.5/100</f>
        <v/>
      </c>
    </row>
    <row r="170" ht="18.75" customFormat="1" customHeight="1" s="1">
      <c r="A170" s="351" t="n"/>
      <c r="B170" s="351" t="n"/>
      <c r="C170" s="347" t="n"/>
      <c r="D170" s="347" t="n"/>
      <c r="E170" s="140">
        <f>+D170</f>
        <v/>
      </c>
      <c r="F170" s="1197" t="n"/>
      <c r="G170" s="1197">
        <f>+F170</f>
        <v/>
      </c>
      <c r="H170" s="1197" t="n"/>
      <c r="I170" s="347" t="n"/>
      <c r="J170" s="1006" t="n"/>
      <c r="K170" s="1006" t="n"/>
      <c r="L170" s="1197" t="n"/>
      <c r="M170" s="1197">
        <f>C170-D170-F170-H170</f>
        <v/>
      </c>
      <c r="N170" s="1102">
        <f>M170*0.5/100</f>
        <v/>
      </c>
    </row>
    <row r="171" ht="18.75" customFormat="1" customHeight="1" s="1">
      <c r="A171" s="351" t="n"/>
      <c r="B171" s="351" t="n"/>
      <c r="C171" s="347" t="n"/>
      <c r="D171" s="347" t="n"/>
      <c r="E171" s="140">
        <f>+D171</f>
        <v/>
      </c>
      <c r="F171" s="1197" t="n"/>
      <c r="G171" s="1197" t="n"/>
      <c r="H171" s="1197" t="n"/>
      <c r="I171" s="347" t="n"/>
      <c r="J171" s="1006" t="n"/>
      <c r="K171" s="1006" t="n"/>
      <c r="L171" s="1197" t="n"/>
      <c r="M171" s="1197">
        <f>C171-D171-F171-H171</f>
        <v/>
      </c>
      <c r="N171" s="1102">
        <f>M171*0.5/100</f>
        <v/>
      </c>
    </row>
    <row r="172" ht="18.75" customFormat="1" customHeight="1" s="1">
      <c r="A172" s="351" t="n"/>
      <c r="B172" s="351" t="n"/>
      <c r="C172" s="347" t="n"/>
      <c r="D172" s="347" t="n"/>
      <c r="E172" s="140">
        <f>+D172</f>
        <v/>
      </c>
      <c r="F172" s="1197" t="n"/>
      <c r="G172" s="1197" t="n"/>
      <c r="H172" s="1197" t="n"/>
      <c r="I172" s="347" t="n"/>
      <c r="J172" s="1006" t="n"/>
      <c r="K172" s="1006" t="n"/>
      <c r="L172" s="1197" t="n"/>
      <c r="M172" s="1197">
        <f>C172-D172-F172-H172</f>
        <v/>
      </c>
      <c r="N172" s="1102">
        <f>M172*0.5/100</f>
        <v/>
      </c>
    </row>
    <row r="173" ht="18.75" customFormat="1" customHeight="1" s="1">
      <c r="A173" s="351" t="n"/>
      <c r="B173" s="351" t="n"/>
      <c r="C173" s="347" t="n"/>
      <c r="D173" s="347" t="n"/>
      <c r="E173" s="140">
        <f>+D173</f>
        <v/>
      </c>
      <c r="F173" s="1197" t="n"/>
      <c r="G173" s="1197" t="n"/>
      <c r="H173" s="1197" t="n"/>
      <c r="I173" s="347" t="n"/>
      <c r="J173" s="1006" t="n"/>
      <c r="K173" s="1006" t="n"/>
      <c r="L173" s="1197" t="n"/>
      <c r="M173" s="1197">
        <f>C173-D173-F173-H173</f>
        <v/>
      </c>
      <c r="N173" s="1102">
        <f>M173*0.5/100</f>
        <v/>
      </c>
    </row>
    <row r="174" ht="18.75" customFormat="1" customHeight="1" s="1">
      <c r="A174" s="351" t="n"/>
      <c r="B174" s="351" t="n"/>
      <c r="C174" s="347" t="n"/>
      <c r="D174" s="347" t="n"/>
      <c r="E174" s="140">
        <f>+D174</f>
        <v/>
      </c>
      <c r="F174" s="1197" t="n"/>
      <c r="G174" s="1197" t="n"/>
      <c r="H174" s="1197" t="n"/>
      <c r="I174" s="347" t="n"/>
      <c r="J174" s="1006" t="n"/>
      <c r="K174" s="1006" t="n"/>
      <c r="L174" s="1197" t="n"/>
      <c r="M174" s="1197">
        <f>C174-D174-F174-H174</f>
        <v/>
      </c>
      <c r="N174" s="1102">
        <f>M174*0.5/100</f>
        <v/>
      </c>
    </row>
    <row r="175" ht="18.75" customFormat="1" customHeight="1" s="1">
      <c r="A175" s="351" t="n"/>
      <c r="B175" s="351" t="n"/>
      <c r="C175" s="347" t="n"/>
      <c r="D175" s="347" t="n"/>
      <c r="E175" s="140">
        <f>+D175</f>
        <v/>
      </c>
      <c r="F175" s="1197" t="n"/>
      <c r="G175" s="1197" t="n"/>
      <c r="H175" s="1197" t="n"/>
      <c r="I175" s="347" t="n"/>
      <c r="J175" s="1006" t="n"/>
      <c r="K175" s="1006" t="n"/>
      <c r="L175" s="1197" t="n"/>
      <c r="M175" s="1197">
        <f>C175-D175-F175-H175</f>
        <v/>
      </c>
      <c r="N175" s="1102">
        <f>M175*0.5/100</f>
        <v/>
      </c>
    </row>
    <row r="176" ht="18.75" customFormat="1" customHeight="1" s="1">
      <c r="A176" s="351" t="n"/>
      <c r="B176" s="351" t="n"/>
      <c r="C176" s="347" t="n"/>
      <c r="D176" s="347" t="n"/>
      <c r="E176" s="140">
        <f>+D176</f>
        <v/>
      </c>
      <c r="F176" s="1197" t="n"/>
      <c r="G176" s="1197" t="n"/>
      <c r="H176" s="1197" t="n"/>
      <c r="I176" s="347" t="n"/>
      <c r="J176" s="1006" t="n"/>
      <c r="K176" s="1006" t="n"/>
      <c r="L176" s="1197" t="n"/>
      <c r="M176" s="1197">
        <f>C176-D176-F176-H176</f>
        <v/>
      </c>
      <c r="N176" s="1102">
        <f>M176*0.5/100</f>
        <v/>
      </c>
    </row>
    <row r="177" ht="18.75" customFormat="1" customHeight="1" s="1">
      <c r="A177" s="351" t="n"/>
      <c r="B177" s="351" t="n"/>
      <c r="C177" s="347" t="n"/>
      <c r="D177" s="347" t="n"/>
      <c r="E177" s="140">
        <f>+D177</f>
        <v/>
      </c>
      <c r="F177" s="1197" t="n"/>
      <c r="G177" s="1197" t="n"/>
      <c r="H177" s="1197" t="n"/>
      <c r="I177" s="347" t="n"/>
      <c r="J177" s="1006" t="n"/>
      <c r="K177" s="1006" t="n"/>
      <c r="L177" s="1197" t="n"/>
      <c r="M177" s="1197">
        <f>C177-D177-F177-H177</f>
        <v/>
      </c>
      <c r="N177" s="1102">
        <f>M177*0.5/100</f>
        <v/>
      </c>
    </row>
    <row r="178" ht="18.75" customFormat="1" customHeight="1" s="1">
      <c r="A178" s="351" t="n"/>
      <c r="B178" s="351" t="n"/>
      <c r="C178" s="347" t="n"/>
      <c r="D178" s="347" t="n"/>
      <c r="E178" s="140">
        <f>+D178</f>
        <v/>
      </c>
      <c r="F178" s="1197" t="n"/>
      <c r="G178" s="1197" t="n"/>
      <c r="H178" s="1197" t="n"/>
      <c r="I178" s="347" t="n"/>
      <c r="J178" s="1006" t="n"/>
      <c r="K178" s="1006" t="n"/>
      <c r="L178" s="1197" t="n"/>
      <c r="M178" s="1197">
        <f>C178-D178-F178-H178</f>
        <v/>
      </c>
      <c r="N178" s="1102">
        <f>M178*0.5/100</f>
        <v/>
      </c>
    </row>
    <row r="179" ht="18.75" customFormat="1" customHeight="1" s="1">
      <c r="A179" s="351" t="n"/>
      <c r="B179" s="351" t="n"/>
      <c r="C179" s="347" t="n"/>
      <c r="D179" s="347" t="n"/>
      <c r="E179" s="140">
        <f>+D179</f>
        <v/>
      </c>
      <c r="F179" s="1197" t="n"/>
      <c r="G179" s="1197" t="n"/>
      <c r="H179" s="1197" t="n"/>
      <c r="I179" s="347" t="n"/>
      <c r="J179" s="1006" t="n"/>
      <c r="K179" s="1006" t="n"/>
      <c r="L179" s="1197" t="n"/>
      <c r="M179" s="1197">
        <f>C179-D179-F179-H179</f>
        <v/>
      </c>
      <c r="N179" s="1102">
        <f>M179*0.5/100</f>
        <v/>
      </c>
    </row>
    <row r="180" ht="18.75" customFormat="1" customHeight="1" s="1">
      <c r="A180" s="351" t="n"/>
      <c r="B180" s="351" t="n"/>
      <c r="C180" s="347" t="n"/>
      <c r="D180" s="347" t="n"/>
      <c r="E180" s="140">
        <f>+D180</f>
        <v/>
      </c>
      <c r="F180" s="1197" t="n"/>
      <c r="G180" s="1197" t="n"/>
      <c r="H180" s="1197" t="n"/>
      <c r="I180" s="347" t="n"/>
      <c r="J180" s="1006" t="n"/>
      <c r="K180" s="1006" t="n"/>
      <c r="L180" s="1197" t="n"/>
      <c r="M180" s="1197">
        <f>C180-D180-F180-H180</f>
        <v/>
      </c>
      <c r="N180" s="1102">
        <f>M180*0.5/100</f>
        <v/>
      </c>
    </row>
    <row r="181" ht="18.75" customFormat="1" customHeight="1" s="1">
      <c r="A181" s="351" t="n"/>
      <c r="B181" s="351" t="n"/>
      <c r="C181" s="347" t="n"/>
      <c r="D181" s="347" t="n"/>
      <c r="E181" s="140">
        <f>+D181</f>
        <v/>
      </c>
      <c r="F181" s="1197" t="n"/>
      <c r="G181" s="1197" t="n"/>
      <c r="H181" s="1197" t="n"/>
      <c r="I181" s="347" t="n"/>
      <c r="J181" s="1006" t="n"/>
      <c r="K181" s="1006" t="n"/>
      <c r="L181" s="1197" t="n"/>
      <c r="M181" s="1197">
        <f>C181-D181-F181-H181</f>
        <v/>
      </c>
      <c r="N181" s="1102">
        <f>M181*0.5/100</f>
        <v/>
      </c>
    </row>
    <row r="182" ht="18.75" customFormat="1" customHeight="1" s="1">
      <c r="A182" s="351" t="n"/>
      <c r="B182" s="351" t="n"/>
      <c r="C182" s="347" t="n"/>
      <c r="D182" s="347" t="n"/>
      <c r="E182" s="140">
        <f>+D182</f>
        <v/>
      </c>
      <c r="F182" s="1197" t="n"/>
      <c r="G182" s="1197" t="n"/>
      <c r="H182" s="1197" t="n"/>
      <c r="I182" s="347" t="n"/>
      <c r="J182" s="1006" t="n"/>
      <c r="K182" s="1006" t="n"/>
      <c r="L182" s="1197" t="n"/>
      <c r="M182" s="1197">
        <f>C182-D182-F182-H182</f>
        <v/>
      </c>
      <c r="N182" s="1102">
        <f>M182*0.5/100</f>
        <v/>
      </c>
    </row>
    <row r="183" ht="18.75" customFormat="1" customHeight="1" s="1">
      <c r="A183" s="351" t="n"/>
      <c r="B183" s="351" t="n"/>
      <c r="C183" s="347" t="n"/>
      <c r="D183" s="347" t="n"/>
      <c r="E183" s="140">
        <f>+D183</f>
        <v/>
      </c>
      <c r="F183" s="1197" t="n"/>
      <c r="G183" s="1197" t="n"/>
      <c r="H183" s="1197" t="n"/>
      <c r="I183" s="347" t="n"/>
      <c r="J183" s="1006" t="n"/>
      <c r="K183" s="1006" t="n"/>
      <c r="L183" s="1197" t="n"/>
      <c r="M183" s="1197">
        <f>C183-D183-F183-H183</f>
        <v/>
      </c>
      <c r="N183" s="1102">
        <f>M183*0.5/100</f>
        <v/>
      </c>
    </row>
    <row r="184" ht="18.75" customFormat="1" customHeight="1" s="1">
      <c r="A184" s="351" t="n"/>
      <c r="B184" s="351" t="n"/>
      <c r="C184" s="347" t="n"/>
      <c r="D184" s="347" t="n"/>
      <c r="E184" s="140">
        <f>+D184</f>
        <v/>
      </c>
      <c r="F184" s="1197" t="n"/>
      <c r="G184" s="1197" t="n"/>
      <c r="H184" s="1197" t="n"/>
      <c r="I184" s="347" t="n"/>
      <c r="J184" s="1006" t="n"/>
      <c r="K184" s="1006" t="n"/>
      <c r="L184" s="1197" t="n"/>
      <c r="M184" s="1197">
        <f>C184-D184-F184-H184</f>
        <v/>
      </c>
      <c r="N184" s="1102">
        <f>M184*0.5/100</f>
        <v/>
      </c>
    </row>
    <row r="185" ht="18.75" customFormat="1" customHeight="1" s="1">
      <c r="A185" s="351" t="n"/>
      <c r="B185" s="351" t="n"/>
      <c r="C185" s="347" t="n"/>
      <c r="D185" s="347" t="n"/>
      <c r="E185" s="140">
        <f>+D185</f>
        <v/>
      </c>
      <c r="F185" s="1197" t="n"/>
      <c r="G185" s="1197" t="n"/>
      <c r="H185" s="1197" t="n"/>
      <c r="I185" s="347" t="n"/>
      <c r="J185" s="1006" t="n"/>
      <c r="K185" s="1006" t="n"/>
      <c r="L185" s="1197" t="n"/>
      <c r="M185" s="1197">
        <f>C185-D185-F185-H185</f>
        <v/>
      </c>
      <c r="N185" s="1102">
        <f>M185*0.5/100</f>
        <v/>
      </c>
    </row>
    <row r="186" ht="18.75" customFormat="1" customHeight="1" s="1">
      <c r="A186" s="351" t="n"/>
      <c r="B186" s="351" t="n"/>
      <c r="C186" s="347" t="n"/>
      <c r="D186" s="347" t="n"/>
      <c r="E186" s="140">
        <f>+D186</f>
        <v/>
      </c>
      <c r="F186" s="1197" t="n"/>
      <c r="G186" s="1197" t="n"/>
      <c r="H186" s="1197" t="n"/>
      <c r="I186" s="347" t="n"/>
      <c r="J186" s="1006" t="n"/>
      <c r="K186" s="1006" t="n"/>
      <c r="L186" s="1197" t="n"/>
      <c r="M186" s="1197">
        <f>C186-D186-F186-H186</f>
        <v/>
      </c>
      <c r="N186" s="1102">
        <f>M186*0.5/100</f>
        <v/>
      </c>
    </row>
    <row r="187" ht="18.75" customFormat="1" customHeight="1" s="1">
      <c r="A187" s="351" t="n"/>
      <c r="B187" s="351" t="n"/>
      <c r="C187" s="347" t="n"/>
      <c r="D187" s="347" t="n"/>
      <c r="E187" s="140">
        <f>+D187</f>
        <v/>
      </c>
      <c r="F187" s="1197" t="n"/>
      <c r="G187" s="1197" t="n"/>
      <c r="H187" s="1197" t="n"/>
      <c r="I187" s="347" t="n"/>
      <c r="J187" s="1006" t="n"/>
      <c r="K187" s="1006" t="n"/>
      <c r="L187" s="1197" t="n"/>
      <c r="M187" s="1197">
        <f>C187-D187-F187-H187</f>
        <v/>
      </c>
      <c r="N187" s="1102">
        <f>M187*0.5/100</f>
        <v/>
      </c>
    </row>
    <row r="188" ht="18.75" customFormat="1" customHeight="1" s="1">
      <c r="A188" s="351" t="n"/>
      <c r="B188" s="351" t="n"/>
      <c r="C188" s="347" t="n"/>
      <c r="D188" s="347" t="n"/>
      <c r="E188" s="140">
        <f>+D188</f>
        <v/>
      </c>
      <c r="F188" s="1197" t="n"/>
      <c r="G188" s="1197" t="n"/>
      <c r="H188" s="1197" t="n"/>
      <c r="I188" s="347" t="n"/>
      <c r="J188" s="1006" t="n"/>
      <c r="K188" s="1006" t="n"/>
      <c r="L188" s="1197" t="n"/>
      <c r="M188" s="1197">
        <f>C188-D188-F188-H188</f>
        <v/>
      </c>
      <c r="N188" s="1102">
        <f>M188*0.5/100</f>
        <v/>
      </c>
    </row>
    <row r="189" ht="18.75" customFormat="1" customHeight="1" s="1">
      <c r="A189" s="351" t="n"/>
      <c r="B189" s="351" t="n"/>
      <c r="C189" s="347" t="n"/>
      <c r="D189" s="347" t="n"/>
      <c r="E189" s="140">
        <f>+D189</f>
        <v/>
      </c>
      <c r="F189" s="1197" t="n"/>
      <c r="G189" s="1197">
        <f>+F189</f>
        <v/>
      </c>
      <c r="H189" s="1197" t="n"/>
      <c r="I189" s="347" t="n"/>
      <c r="J189" s="1006" t="n"/>
      <c r="K189" s="1006" t="n"/>
      <c r="L189" s="1197" t="n"/>
      <c r="M189" s="1197">
        <f>C189-D189-F189-H189</f>
        <v/>
      </c>
      <c r="N189" s="1102">
        <f>M189*0.5/100</f>
        <v/>
      </c>
    </row>
    <row r="190" ht="18.75" customFormat="1" customHeight="1" s="1">
      <c r="A190" s="351" t="n"/>
      <c r="B190" s="351" t="n"/>
      <c r="C190" s="347" t="n"/>
      <c r="D190" s="347" t="n"/>
      <c r="E190" s="140">
        <f>+D190</f>
        <v/>
      </c>
      <c r="F190" s="1197" t="n"/>
      <c r="G190" s="1197" t="n"/>
      <c r="H190" s="1197" t="n"/>
      <c r="I190" s="347" t="n"/>
      <c r="J190" s="1006" t="n"/>
      <c r="K190" s="1006" t="n"/>
      <c r="L190" s="1197" t="n"/>
      <c r="M190" s="1197">
        <f>C190-D190-F190-H190</f>
        <v/>
      </c>
      <c r="N190" s="1102">
        <f>M190*0.5/100</f>
        <v/>
      </c>
    </row>
    <row r="191" ht="18.75" customFormat="1" customHeight="1" s="1">
      <c r="A191" s="351" t="n"/>
      <c r="B191" s="351" t="n"/>
      <c r="C191" s="347" t="n"/>
      <c r="D191" s="347" t="n"/>
      <c r="E191" s="140">
        <f>+D191</f>
        <v/>
      </c>
      <c r="F191" s="1197" t="n"/>
      <c r="G191" s="1197" t="n"/>
      <c r="H191" s="1197" t="n"/>
      <c r="I191" s="347" t="n"/>
      <c r="J191" s="1006" t="n"/>
      <c r="K191" s="1006" t="n"/>
      <c r="L191" s="1197" t="n"/>
      <c r="M191" s="1197">
        <f>C191-D191-F191-H191</f>
        <v/>
      </c>
      <c r="N191" s="1102">
        <f>M191*0.5/100</f>
        <v/>
      </c>
    </row>
    <row r="192" ht="18.75" customFormat="1" customHeight="1" s="1">
      <c r="A192" s="351" t="n"/>
      <c r="B192" s="351" t="n"/>
      <c r="C192" s="347" t="n"/>
      <c r="D192" s="347" t="n"/>
      <c r="E192" s="140">
        <f>+D192</f>
        <v/>
      </c>
      <c r="F192" s="1197" t="n"/>
      <c r="G192" s="1197" t="n"/>
      <c r="H192" s="1197" t="n"/>
      <c r="I192" s="347" t="n"/>
      <c r="J192" s="1006" t="n"/>
      <c r="K192" s="1006" t="n"/>
      <c r="L192" s="1197" t="n"/>
      <c r="M192" s="1197">
        <f>C192-D192-F192-H192</f>
        <v/>
      </c>
      <c r="N192" s="1102">
        <f>M192*0.5/100</f>
        <v/>
      </c>
    </row>
    <row r="193" ht="18.75" customFormat="1" customHeight="1" s="1">
      <c r="A193" s="351" t="n"/>
      <c r="B193" s="351" t="n"/>
      <c r="C193" s="347" t="n"/>
      <c r="D193" s="347" t="n"/>
      <c r="E193" s="140">
        <f>+D193</f>
        <v/>
      </c>
      <c r="F193" s="1197" t="n"/>
      <c r="G193" s="1197">
        <f>+F193</f>
        <v/>
      </c>
      <c r="H193" s="1197" t="n"/>
      <c r="I193" s="347" t="n"/>
      <c r="J193" s="1006" t="n"/>
      <c r="K193" s="1006" t="n"/>
      <c r="L193" s="1197" t="n"/>
      <c r="M193" s="1197">
        <f>C193-D193-F193-H193</f>
        <v/>
      </c>
      <c r="N193" s="1102">
        <f>M193*0.5/100</f>
        <v/>
      </c>
    </row>
    <row r="194" ht="18.75" customFormat="1" customHeight="1" s="1">
      <c r="A194" s="351" t="n"/>
      <c r="B194" s="351" t="n"/>
      <c r="C194" s="347" t="n"/>
      <c r="D194" s="347" t="n"/>
      <c r="E194" s="140">
        <f>+D194</f>
        <v/>
      </c>
      <c r="F194" s="1197" t="n"/>
      <c r="G194" s="1197" t="n"/>
      <c r="H194" s="1197" t="n"/>
      <c r="I194" s="347" t="n"/>
      <c r="J194" s="1006" t="n"/>
      <c r="K194" s="1006" t="n"/>
      <c r="L194" s="1197" t="n"/>
      <c r="M194" s="1197">
        <f>C194-D194-F194-H194</f>
        <v/>
      </c>
      <c r="N194" s="1102">
        <f>M194*0.5/100</f>
        <v/>
      </c>
    </row>
    <row r="195" ht="18.75" customFormat="1" customHeight="1" s="1">
      <c r="A195" s="351" t="n"/>
      <c r="B195" s="351" t="n"/>
      <c r="C195" s="347" t="n"/>
      <c r="D195" s="347" t="n"/>
      <c r="E195" s="140">
        <f>+D195</f>
        <v/>
      </c>
      <c r="F195" s="1197" t="n"/>
      <c r="G195" s="1197" t="n"/>
      <c r="H195" s="1197" t="n"/>
      <c r="I195" s="347" t="n"/>
      <c r="J195" s="1006" t="n"/>
      <c r="K195" s="1006" t="n"/>
      <c r="L195" s="1197" t="n"/>
      <c r="M195" s="1197">
        <f>C195-D195-F195-H195</f>
        <v/>
      </c>
      <c r="N195" s="1102">
        <f>M195*0.5/100</f>
        <v/>
      </c>
    </row>
    <row r="196" ht="18.75" customFormat="1" customHeight="1" s="1">
      <c r="A196" s="351" t="n"/>
      <c r="B196" s="351" t="n"/>
      <c r="C196" s="347" t="n"/>
      <c r="D196" s="347" t="n"/>
      <c r="E196" s="140">
        <f>+D196</f>
        <v/>
      </c>
      <c r="F196" s="1197" t="n"/>
      <c r="G196" s="1197">
        <f>+F196</f>
        <v/>
      </c>
      <c r="H196" s="1197" t="n"/>
      <c r="I196" s="347" t="n"/>
      <c r="J196" s="1006" t="n"/>
      <c r="K196" s="1006" t="n"/>
      <c r="L196" s="1197" t="n"/>
      <c r="M196" s="1197">
        <f>C196-D196-F196-H196</f>
        <v/>
      </c>
      <c r="N196" s="1102">
        <f>M196*0.5/100</f>
        <v/>
      </c>
    </row>
    <row r="197" ht="18.75" customFormat="1" customHeight="1" s="1">
      <c r="A197" s="351" t="n"/>
      <c r="B197" s="351" t="n"/>
      <c r="C197" s="347" t="n"/>
      <c r="D197" s="347" t="n"/>
      <c r="E197" s="140">
        <f>+D197</f>
        <v/>
      </c>
      <c r="F197" s="1197" t="n"/>
      <c r="G197" s="1197" t="n"/>
      <c r="H197" s="1197" t="n"/>
      <c r="I197" s="347" t="n"/>
      <c r="J197" s="1006" t="n"/>
      <c r="K197" s="1006" t="n"/>
      <c r="L197" s="1197" t="n"/>
      <c r="M197" s="1197">
        <f>C197-D197-F197-H197</f>
        <v/>
      </c>
      <c r="N197" s="1102">
        <f>M197*0.5/100</f>
        <v/>
      </c>
    </row>
    <row r="198" ht="18.75" customFormat="1" customHeight="1" s="1">
      <c r="A198" s="351" t="n"/>
      <c r="B198" s="351" t="n"/>
      <c r="C198" s="347" t="n"/>
      <c r="D198" s="347" t="n"/>
      <c r="E198" s="140">
        <f>+D198</f>
        <v/>
      </c>
      <c r="F198" s="1197" t="n"/>
      <c r="G198" s="1197" t="n"/>
      <c r="H198" s="1197" t="n"/>
      <c r="I198" s="347" t="n"/>
      <c r="J198" s="1006" t="n"/>
      <c r="K198" s="1006" t="n"/>
      <c r="L198" s="1197" t="n"/>
      <c r="M198" s="1197">
        <f>C198-D198-F198-H198</f>
        <v/>
      </c>
      <c r="N198" s="1102">
        <f>M198*0.5/100</f>
        <v/>
      </c>
    </row>
    <row r="199" ht="18.75" customFormat="1" customHeight="1" s="1">
      <c r="A199" s="351" t="n"/>
      <c r="B199" s="351" t="n"/>
      <c r="C199" s="347" t="n"/>
      <c r="D199" s="347" t="n"/>
      <c r="E199" s="140">
        <f>+D199</f>
        <v/>
      </c>
      <c r="F199" s="1197" t="n"/>
      <c r="G199" s="1197" t="n"/>
      <c r="H199" s="1197" t="n"/>
      <c r="I199" s="347" t="n"/>
      <c r="J199" s="1006" t="n"/>
      <c r="K199" s="1006" t="n"/>
      <c r="L199" s="1197" t="n"/>
      <c r="M199" s="1197">
        <f>C199-D199-F199-H199</f>
        <v/>
      </c>
      <c r="N199" s="1102">
        <f>M199*0.5/100</f>
        <v/>
      </c>
    </row>
    <row r="200" ht="18.75" customFormat="1" customHeight="1" s="1">
      <c r="A200" s="351" t="n"/>
      <c r="B200" s="351" t="n"/>
      <c r="C200" s="347" t="n"/>
      <c r="D200" s="347" t="n"/>
      <c r="E200" s="140">
        <f>+D200</f>
        <v/>
      </c>
      <c r="F200" s="1197" t="n"/>
      <c r="G200" s="1197" t="n"/>
      <c r="H200" s="1197" t="n"/>
      <c r="I200" s="347" t="n"/>
      <c r="J200" s="1006" t="n"/>
      <c r="K200" s="1006" t="n"/>
      <c r="L200" s="1197" t="n"/>
      <c r="M200" s="1197">
        <f>C200-D200-F200-H200</f>
        <v/>
      </c>
      <c r="N200" s="1102">
        <f>M200*0.5/100</f>
        <v/>
      </c>
    </row>
    <row r="201" ht="18.75" customFormat="1" customHeight="1" s="1">
      <c r="A201" s="351" t="n"/>
      <c r="B201" s="351" t="n"/>
      <c r="C201" s="347" t="n"/>
      <c r="D201" s="347" t="n"/>
      <c r="E201" s="140">
        <f>+D201</f>
        <v/>
      </c>
      <c r="F201" s="1197" t="n"/>
      <c r="G201" s="1197">
        <f>+F201</f>
        <v/>
      </c>
      <c r="H201" s="1197" t="n"/>
      <c r="I201" s="347" t="n"/>
      <c r="J201" s="1006" t="n"/>
      <c r="K201" s="1006" t="n"/>
      <c r="L201" s="1197" t="n"/>
      <c r="M201" s="1197">
        <f>C201-D201-F201-H201</f>
        <v/>
      </c>
      <c r="N201" s="1102">
        <f>M201*0.5/100</f>
        <v/>
      </c>
    </row>
    <row r="202" ht="18.75" customFormat="1" customHeight="1" s="1">
      <c r="A202" s="351" t="n"/>
      <c r="B202" s="351" t="n"/>
      <c r="C202" s="347" t="n"/>
      <c r="D202" s="347" t="n"/>
      <c r="E202" s="140">
        <f>+D202</f>
        <v/>
      </c>
      <c r="F202" s="1197" t="n"/>
      <c r="G202" s="1197" t="n"/>
      <c r="H202" s="1197" t="n"/>
      <c r="I202" s="347" t="n"/>
      <c r="J202" s="1006" t="n"/>
      <c r="K202" s="1006" t="n"/>
      <c r="L202" s="1197" t="n"/>
      <c r="M202" s="1197">
        <f>C202-D202-F202-H202</f>
        <v/>
      </c>
      <c r="N202" s="1102">
        <f>M202*0.5/100</f>
        <v/>
      </c>
    </row>
    <row r="203" ht="18.75" customFormat="1" customHeight="1" s="1">
      <c r="A203" s="351" t="n"/>
      <c r="B203" s="351" t="n"/>
      <c r="C203" s="347" t="n"/>
      <c r="D203" s="347" t="n"/>
      <c r="E203" s="140">
        <f>+D203</f>
        <v/>
      </c>
      <c r="F203" s="1197" t="n"/>
      <c r="G203" s="1197">
        <f>+F203</f>
        <v/>
      </c>
      <c r="H203" s="1197" t="n"/>
      <c r="I203" s="347" t="n"/>
      <c r="J203" s="1006" t="n"/>
      <c r="K203" s="1006" t="n"/>
      <c r="L203" s="1197" t="n"/>
      <c r="M203" s="1197">
        <f>C203-D203-F203-H203</f>
        <v/>
      </c>
      <c r="N203" s="1102">
        <f>M203*0.5/100</f>
        <v/>
      </c>
    </row>
    <row r="204" ht="18.75" customFormat="1" customHeight="1" s="1">
      <c r="A204" s="351" t="n"/>
      <c r="B204" s="351" t="n"/>
      <c r="C204" s="347" t="n"/>
      <c r="D204" s="347" t="n"/>
      <c r="E204" s="140">
        <f>+D204</f>
        <v/>
      </c>
      <c r="F204" s="1197" t="n"/>
      <c r="G204" s="1197" t="n"/>
      <c r="H204" s="1197" t="n"/>
      <c r="I204" s="347" t="n"/>
      <c r="J204" s="1006" t="n"/>
      <c r="K204" s="1006" t="n"/>
      <c r="L204" s="1197" t="n"/>
      <c r="M204" s="1197">
        <f>C204-D204-F204-H204</f>
        <v/>
      </c>
      <c r="N204" s="1102">
        <f>M204*0.5/100</f>
        <v/>
      </c>
    </row>
    <row r="205" ht="18.75" customFormat="1" customHeight="1" s="1">
      <c r="A205" s="351" t="n"/>
      <c r="B205" s="351" t="n"/>
      <c r="C205" s="347" t="n"/>
      <c r="D205" s="347" t="n"/>
      <c r="E205" s="140">
        <f>+D205</f>
        <v/>
      </c>
      <c r="F205" s="1197" t="n"/>
      <c r="G205" s="1197">
        <f>+F205</f>
        <v/>
      </c>
      <c r="H205" s="1197" t="n"/>
      <c r="I205" s="347" t="n"/>
      <c r="J205" s="1006" t="n"/>
      <c r="K205" s="1006" t="n"/>
      <c r="L205" s="1197" t="n"/>
      <c r="M205" s="1197">
        <f>C205-D205-F205-H205</f>
        <v/>
      </c>
      <c r="N205" s="1102">
        <f>M205*0.5/100</f>
        <v/>
      </c>
    </row>
    <row r="206" ht="18.75" customFormat="1" customHeight="1" s="1">
      <c r="A206" s="351" t="n"/>
      <c r="B206" s="351" t="n"/>
      <c r="C206" s="347" t="n"/>
      <c r="D206" s="347" t="n"/>
      <c r="E206" s="140">
        <f>+D206</f>
        <v/>
      </c>
      <c r="F206" s="1197" t="n"/>
      <c r="G206" s="1197" t="n"/>
      <c r="H206" s="1197" t="n"/>
      <c r="I206" s="347" t="n"/>
      <c r="J206" s="1006" t="n"/>
      <c r="K206" s="1006" t="n"/>
      <c r="L206" s="1197" t="n"/>
      <c r="M206" s="1197">
        <f>C206-D206-F206-H206</f>
        <v/>
      </c>
      <c r="N206" s="1102">
        <f>M206*0.5/100</f>
        <v/>
      </c>
    </row>
    <row r="207" ht="18.75" customFormat="1" customHeight="1" s="1">
      <c r="A207" s="351" t="n"/>
      <c r="B207" s="351" t="n"/>
      <c r="C207" s="347" t="n"/>
      <c r="D207" s="347" t="n"/>
      <c r="E207" s="140">
        <f>+D207</f>
        <v/>
      </c>
      <c r="F207" s="1197" t="n"/>
      <c r="G207" s="1197" t="n"/>
      <c r="H207" s="1197" t="n"/>
      <c r="I207" s="347" t="n"/>
      <c r="J207" s="1006" t="n"/>
      <c r="K207" s="1006" t="n"/>
      <c r="L207" s="1197" t="n"/>
      <c r="M207" s="1197">
        <f>C207-D207-F207-H207</f>
        <v/>
      </c>
      <c r="N207" s="1102">
        <f>M207*0.5/100</f>
        <v/>
      </c>
    </row>
    <row r="208" ht="18.75" customFormat="1" customHeight="1" s="1">
      <c r="A208" s="351" t="n"/>
      <c r="B208" s="351" t="n"/>
      <c r="C208" s="347" t="n"/>
      <c r="D208" s="347" t="n"/>
      <c r="E208" s="140">
        <f>+D208</f>
        <v/>
      </c>
      <c r="F208" s="1197" t="n"/>
      <c r="G208" s="1197" t="n"/>
      <c r="H208" s="1197" t="n"/>
      <c r="I208" s="347" t="n"/>
      <c r="J208" s="1006" t="n"/>
      <c r="K208" s="1006" t="n"/>
      <c r="L208" s="1197" t="n"/>
      <c r="M208" s="1197">
        <f>C208-D208-F208-H208</f>
        <v/>
      </c>
      <c r="N208" s="1102">
        <f>M208*0.5/100</f>
        <v/>
      </c>
    </row>
    <row r="209" ht="18.75" customFormat="1" customHeight="1" s="1">
      <c r="A209" s="351" t="n"/>
      <c r="B209" s="351" t="n"/>
      <c r="C209" s="347" t="n"/>
      <c r="D209" s="347" t="n"/>
      <c r="E209" s="140">
        <f>+D209</f>
        <v/>
      </c>
      <c r="F209" s="1197" t="n"/>
      <c r="G209" s="1197" t="n"/>
      <c r="H209" s="1197" t="n"/>
      <c r="I209" s="347" t="n"/>
      <c r="J209" s="1006" t="n"/>
      <c r="K209" s="1006" t="n"/>
      <c r="L209" s="1197" t="n"/>
      <c r="M209" s="1197">
        <f>C209-D209-F209-H209</f>
        <v/>
      </c>
      <c r="N209" s="1102">
        <f>M209*0.5/100</f>
        <v/>
      </c>
    </row>
    <row r="210" ht="18.75" customFormat="1" customHeight="1" s="1">
      <c r="A210" s="351" t="n"/>
      <c r="B210" s="351" t="n"/>
      <c r="C210" s="347" t="n"/>
      <c r="D210" s="347" t="n"/>
      <c r="E210" s="140">
        <f>+D210</f>
        <v/>
      </c>
      <c r="F210" s="1197" t="n"/>
      <c r="G210" s="1197" t="n"/>
      <c r="H210" s="1197" t="n"/>
      <c r="I210" s="347" t="n"/>
      <c r="J210" s="1006" t="n"/>
      <c r="K210" s="1006" t="n"/>
      <c r="L210" s="1197" t="n"/>
      <c r="M210" s="1197">
        <f>C210-D210-F210-H210</f>
        <v/>
      </c>
      <c r="N210" s="1102">
        <f>M210*0.5/100</f>
        <v/>
      </c>
    </row>
    <row r="211" ht="18.75" customFormat="1" customHeight="1" s="1">
      <c r="A211" s="351" t="n"/>
      <c r="B211" s="351" t="n"/>
      <c r="C211" s="347" t="n"/>
      <c r="D211" s="347" t="n"/>
      <c r="E211" s="140">
        <f>+D211</f>
        <v/>
      </c>
      <c r="F211" s="1197" t="n"/>
      <c r="G211" s="1197" t="n"/>
      <c r="H211" s="1197" t="n"/>
      <c r="I211" s="347" t="n"/>
      <c r="J211" s="1006" t="n"/>
      <c r="K211" s="1006" t="n"/>
      <c r="L211" s="1197" t="n"/>
      <c r="M211" s="1197">
        <f>C211-D211-F211-H211</f>
        <v/>
      </c>
      <c r="N211" s="1102">
        <f>M211*0.5/100</f>
        <v/>
      </c>
    </row>
    <row r="212" ht="18.75" customFormat="1" customHeight="1" s="1">
      <c r="A212" s="351" t="n"/>
      <c r="B212" s="351" t="n"/>
      <c r="C212" s="347" t="n"/>
      <c r="D212" s="347" t="n"/>
      <c r="E212" s="140">
        <f>+D212</f>
        <v/>
      </c>
      <c r="F212" s="1197" t="n"/>
      <c r="G212" s="1197" t="n"/>
      <c r="H212" s="1197" t="n"/>
      <c r="I212" s="347" t="n"/>
      <c r="J212" s="1006" t="n"/>
      <c r="K212" s="1006" t="n"/>
      <c r="L212" s="1197" t="n"/>
      <c r="M212" s="1197">
        <f>C212-D212-F212-H212</f>
        <v/>
      </c>
      <c r="N212" s="1102">
        <f>M212*0.5/100</f>
        <v/>
      </c>
    </row>
    <row r="213" ht="18.75" customFormat="1" customHeight="1" s="1">
      <c r="A213" s="351" t="n"/>
      <c r="B213" s="351" t="n"/>
      <c r="C213" s="347" t="n"/>
      <c r="D213" s="347" t="n"/>
      <c r="E213" s="140">
        <f>+D213</f>
        <v/>
      </c>
      <c r="F213" s="1197" t="n"/>
      <c r="G213" s="1197" t="n"/>
      <c r="H213" s="1197" t="n"/>
      <c r="I213" s="347" t="n"/>
      <c r="J213" s="1006" t="n"/>
      <c r="K213" s="1006" t="n"/>
      <c r="L213" s="1197" t="n"/>
      <c r="M213" s="1197">
        <f>C213-D213-F213-H213</f>
        <v/>
      </c>
      <c r="N213" s="1102">
        <f>M213*0.5/100</f>
        <v/>
      </c>
    </row>
    <row r="214" ht="18.75" customFormat="1" customHeight="1" s="1">
      <c r="A214" s="351" t="n"/>
      <c r="B214" s="351" t="n"/>
      <c r="C214" s="347" t="n"/>
      <c r="D214" s="347" t="n"/>
      <c r="E214" s="140">
        <f>+D214</f>
        <v/>
      </c>
      <c r="F214" s="1197" t="n"/>
      <c r="G214" s="1197" t="n"/>
      <c r="H214" s="1197" t="n"/>
      <c r="I214" s="347" t="n"/>
      <c r="J214" s="1006" t="n"/>
      <c r="K214" s="1006" t="n"/>
      <c r="L214" s="1197" t="n"/>
      <c r="M214" s="1197">
        <f>C214-D214-F214-H214</f>
        <v/>
      </c>
      <c r="N214" s="1102">
        <f>M214*0.5/100</f>
        <v/>
      </c>
    </row>
    <row r="215" ht="18.75" customFormat="1" customHeight="1" s="1">
      <c r="A215" s="1197" t="n"/>
      <c r="B215" s="1197" t="n"/>
      <c r="C215" s="347" t="n"/>
      <c r="D215" s="1197" t="n"/>
      <c r="E215" s="140">
        <f>+D215</f>
        <v/>
      </c>
      <c r="F215" s="1197" t="n"/>
      <c r="G215" s="1197" t="n"/>
      <c r="H215" s="1197" t="n"/>
      <c r="I215" s="347" t="n"/>
      <c r="J215" s="1006" t="n"/>
      <c r="K215" s="1006" t="n"/>
      <c r="L215" s="1197" t="n"/>
      <c r="M215" s="1197">
        <f>C215-D215-F215-H215</f>
        <v/>
      </c>
      <c r="N215" s="1102">
        <f>M215*0.5/100</f>
        <v/>
      </c>
    </row>
    <row r="216" ht="18.75" customFormat="1" customHeight="1" s="1">
      <c r="A216" s="1197" t="n"/>
      <c r="B216" s="1197" t="n"/>
      <c r="C216" s="347" t="n"/>
      <c r="D216" s="347" t="n"/>
      <c r="E216" s="140">
        <f>+D216</f>
        <v/>
      </c>
      <c r="F216" s="1197" t="n"/>
      <c r="G216" s="1197" t="n"/>
      <c r="H216" s="1197" t="n"/>
      <c r="I216" s="1197" t="n"/>
      <c r="J216" s="1006" t="n"/>
      <c r="K216" s="1006" t="n"/>
      <c r="L216" s="1197" t="n"/>
      <c r="M216" s="1197">
        <f>C216-D216-F216-H216</f>
        <v/>
      </c>
      <c r="N216" s="1102">
        <f>M216*0.5/100</f>
        <v/>
      </c>
    </row>
    <row r="217" ht="19.5" customFormat="1" customHeight="1" s="1" thickBot="1">
      <c r="A217" s="1110" t="n"/>
      <c r="B217" s="1110" t="n"/>
      <c r="C217" s="1110" t="n"/>
      <c r="D217" s="1197" t="n"/>
      <c r="E217" s="140">
        <f>+D217</f>
        <v/>
      </c>
      <c r="F217" s="1197" t="n"/>
      <c r="G217" s="1197">
        <f>+F217</f>
        <v/>
      </c>
      <c r="H217" s="1197" t="n"/>
      <c r="I217" s="1110" t="n"/>
      <c r="J217" s="1006" t="n"/>
      <c r="K217" s="1006" t="n"/>
      <c r="L217" s="1197" t="n"/>
      <c r="M217" s="1197">
        <f>C217-D217-F217-H217</f>
        <v/>
      </c>
      <c r="N217" s="1102">
        <f>M217*0.5/100</f>
        <v/>
      </c>
    </row>
    <row r="218" ht="19.5" customHeight="1" thickBot="1">
      <c r="A218" s="904" t="inlineStr">
        <is>
          <t>Total</t>
        </is>
      </c>
      <c r="B218" s="905" t="n"/>
      <c r="C218" s="971">
        <f>SUM(C9:C217)</f>
        <v/>
      </c>
      <c r="D218" s="971">
        <f>SUM(D10:D217)</f>
        <v/>
      </c>
      <c r="E218" s="971">
        <f>SUM(E10:E217)</f>
        <v/>
      </c>
      <c r="F218" s="971">
        <f>SUM(F10:F217)</f>
        <v/>
      </c>
      <c r="G218" s="971">
        <f>SUM(G10:G217)</f>
        <v/>
      </c>
      <c r="H218" s="971">
        <f>SUM(H9:H217)</f>
        <v/>
      </c>
      <c r="I218" s="971">
        <f>SUM(I9:I217)</f>
        <v/>
      </c>
      <c r="J218" s="971">
        <f>SUM(J9:J217)</f>
        <v/>
      </c>
      <c r="K218" s="971">
        <f>SUM(K9:K217)</f>
        <v/>
      </c>
      <c r="L218" s="971">
        <f>SUM(L9:L217)</f>
        <v/>
      </c>
      <c r="M218" s="971">
        <f>SUM(M9:M217)</f>
        <v/>
      </c>
      <c r="N218" s="971">
        <f>SUM(N9:N217)</f>
        <v/>
      </c>
    </row>
    <row r="219">
      <c r="D219" s="985" t="n"/>
    </row>
    <row r="220" ht="21.75" customHeight="1" thickBot="1">
      <c r="A220" s="1099" t="inlineStr">
        <is>
          <t>SHOP MEMBERS COLLECTION</t>
        </is>
      </c>
      <c r="B220" s="969" t="n"/>
      <c r="C220" s="969" t="n"/>
      <c r="D220" s="969" t="n"/>
      <c r="E220" s="969" t="n"/>
      <c r="F220" s="969" t="n"/>
      <c r="G220" s="969" t="n"/>
      <c r="H220" s="969" t="n"/>
      <c r="I220" s="969" t="n"/>
    </row>
    <row r="221" ht="15.75" customHeight="1">
      <c r="A221" s="300" t="inlineStr">
        <is>
          <t>SHOP NO.</t>
        </is>
      </c>
      <c r="B221" s="300" t="inlineStr">
        <is>
          <t>Name of Owner</t>
        </is>
      </c>
      <c r="C221" s="300" t="inlineStr">
        <is>
          <t>CR SIDE</t>
        </is>
      </c>
      <c r="D221" s="301" t="inlineStr">
        <is>
          <t>Receipt of Registration Fees</t>
        </is>
      </c>
      <c r="E221" s="301" t="inlineStr">
        <is>
          <t>Payment of Reg Fees on Behalf of Client</t>
        </is>
      </c>
      <c r="F221" s="301" t="inlineStr">
        <is>
          <t>Receipt of Stamp Duty/JV (Cr)</t>
        </is>
      </c>
      <c r="G221" s="301" t="inlineStr">
        <is>
          <t>Payment of Stamp Duty/JV (Dr)</t>
        </is>
      </c>
      <c r="H221" s="849" t="n"/>
      <c r="I221" s="301" t="inlineStr">
        <is>
          <t>REFUND OF SAME PEROID</t>
        </is>
      </c>
      <c r="J221" s="301" t="inlineStr">
        <is>
          <t>REFUND WITHOUT GST</t>
        </is>
      </c>
      <c r="K221" s="849" t="n"/>
      <c r="L221" s="301" t="inlineStr">
        <is>
          <t>AEC,AUDA JV</t>
        </is>
      </c>
      <c r="M221" s="301" t="inlineStr">
        <is>
          <t>NET RECEIPT</t>
        </is>
      </c>
    </row>
    <row r="222" ht="16.5" customHeight="1" thickBot="1">
      <c r="A222" s="979" t="n"/>
      <c r="B222" s="979" t="n"/>
      <c r="C222" s="979" t="n"/>
      <c r="D222" s="979" t="n"/>
      <c r="E222" s="979" t="n"/>
      <c r="F222" s="979" t="n"/>
      <c r="G222" s="979" t="n"/>
      <c r="H222" s="850" t="n"/>
      <c r="I222" s="979" t="n"/>
      <c r="J222" s="979" t="n"/>
      <c r="K222" s="850" t="n"/>
      <c r="L222" s="979" t="n"/>
      <c r="M222" s="979" t="n"/>
    </row>
    <row r="223" ht="14.25" customFormat="1" customHeight="1" s="1">
      <c r="A223" s="632" t="inlineStr">
        <is>
          <t>10</t>
        </is>
      </c>
      <c r="B223" s="351" t="inlineStr">
        <is>
          <t>Sh-10A , Kanaji Vanzara</t>
        </is>
      </c>
      <c r="C223" s="1101" t="n">
        <v>184017.7</v>
      </c>
      <c r="D223" s="1101" t="n">
        <v>184017.7</v>
      </c>
      <c r="E223" s="1197">
        <f>+D223</f>
        <v/>
      </c>
      <c r="F223" s="347" t="n"/>
      <c r="G223" s="1197">
        <f>+F223</f>
        <v/>
      </c>
      <c r="H223" s="1197" t="n"/>
      <c r="I223" s="1197" t="n"/>
      <c r="J223" s="1006" t="n"/>
      <c r="K223" s="1006" t="n"/>
      <c r="L223" s="1197" t="n"/>
      <c r="M223" s="1197">
        <f>C223-D223-F223-H223</f>
        <v/>
      </c>
      <c r="N223" s="342">
        <f>M223*2.5/100</f>
        <v/>
      </c>
    </row>
    <row r="224" ht="14.25" customFormat="1" customHeight="1" s="1">
      <c r="A224" s="632" t="n"/>
      <c r="B224" s="351" t="n"/>
      <c r="C224" s="1101" t="n"/>
      <c r="D224" s="1101" t="n"/>
      <c r="E224" s="1197">
        <f>+D224</f>
        <v/>
      </c>
      <c r="F224" s="347" t="n"/>
      <c r="G224" s="1197">
        <f>+F224</f>
        <v/>
      </c>
      <c r="H224" s="1197" t="n"/>
      <c r="I224" s="1197" t="n"/>
      <c r="J224" s="1197" t="n"/>
      <c r="K224" s="1197" t="n"/>
      <c r="L224" s="1197" t="n"/>
      <c r="M224" s="1197">
        <f>C224-D224-F224</f>
        <v/>
      </c>
      <c r="N224" s="342">
        <f>M224*2.5/100</f>
        <v/>
      </c>
    </row>
    <row r="225" ht="14.25" customFormat="1" customHeight="1" s="1">
      <c r="A225" s="1198" t="n"/>
      <c r="B225" s="1197" t="n"/>
      <c r="C225" s="1197" t="n">
        <v>0</v>
      </c>
      <c r="D225" s="1197" t="n"/>
      <c r="E225" s="1197">
        <f>+D225</f>
        <v/>
      </c>
      <c r="F225" s="1197" t="n"/>
      <c r="G225" s="1197" t="n"/>
      <c r="H225" s="1197" t="n"/>
      <c r="I225" s="1197" t="n">
        <v>0</v>
      </c>
      <c r="J225" s="1197" t="n"/>
      <c r="K225" s="1197" t="n"/>
      <c r="L225" s="1197" t="n"/>
      <c r="M225" s="1197">
        <f>C225-D225</f>
        <v/>
      </c>
      <c r="N225" s="342">
        <f>M225*2.5/100</f>
        <v/>
      </c>
    </row>
    <row r="226" ht="14.25" customFormat="1" customHeight="1" s="1">
      <c r="A226" s="1199" t="n"/>
      <c r="B226" s="1199" t="n"/>
      <c r="C226" s="1197" t="n"/>
      <c r="D226" s="1197" t="n"/>
      <c r="E226" s="1197" t="n"/>
      <c r="F226" s="1197" t="n"/>
      <c r="G226" s="1197" t="n"/>
      <c r="H226" s="1197" t="n"/>
      <c r="I226" s="1197" t="n"/>
      <c r="J226" s="1197" t="n"/>
      <c r="K226" s="1197" t="n"/>
      <c r="L226" s="1197" t="n"/>
      <c r="M226" s="1197">
        <f>C226-D226</f>
        <v/>
      </c>
      <c r="N226" s="342">
        <f>M226*2.5/100</f>
        <v/>
      </c>
    </row>
    <row r="227" ht="14.25" customFormat="1" customHeight="1" s="1">
      <c r="A227" s="1199" t="n"/>
      <c r="B227" s="1199" t="n"/>
      <c r="C227" s="1197" t="n"/>
      <c r="D227" s="1197" t="n"/>
      <c r="E227" s="1197" t="n"/>
      <c r="F227" s="1197" t="n"/>
      <c r="G227" s="1197" t="n"/>
      <c r="H227" s="1197" t="n"/>
      <c r="I227" s="1197" t="n"/>
      <c r="J227" s="1197" t="n"/>
      <c r="K227" s="1197" t="n"/>
      <c r="L227" s="1197" t="n"/>
      <c r="M227" s="1197">
        <f>C227-D227</f>
        <v/>
      </c>
      <c r="N227" s="342">
        <f>M227*2.5/100</f>
        <v/>
      </c>
    </row>
    <row r="228" ht="14.25" customFormat="1" customHeight="1" s="1">
      <c r="A228" s="1199" t="n"/>
      <c r="B228" s="1199" t="n"/>
      <c r="C228" s="1197" t="n"/>
      <c r="D228" s="1197" t="n"/>
      <c r="E228" s="1197" t="n"/>
      <c r="F228" s="1197" t="n"/>
      <c r="G228" s="1197" t="n"/>
      <c r="H228" s="1197" t="n"/>
      <c r="I228" s="1197" t="n"/>
      <c r="J228" s="1197" t="n"/>
      <c r="K228" s="1197" t="n"/>
      <c r="L228" s="1197" t="n"/>
      <c r="M228" s="1197">
        <f>C228-D228</f>
        <v/>
      </c>
      <c r="N228" s="342">
        <f>M228*2.5/100</f>
        <v/>
      </c>
    </row>
    <row r="229" customFormat="1" s="1" thickBot="1">
      <c r="A229" s="1199" t="n"/>
      <c r="B229" s="1199" t="n"/>
      <c r="C229" s="1197" t="n"/>
      <c r="D229" s="1197" t="n"/>
      <c r="E229" s="1197" t="n"/>
      <c r="F229" s="1197" t="n"/>
      <c r="G229" s="1197" t="n"/>
      <c r="H229" s="1197" t="n"/>
      <c r="I229" s="1197" t="n"/>
      <c r="J229" s="1197" t="n"/>
      <c r="K229" s="1197" t="n"/>
      <c r="L229" s="1197" t="n"/>
      <c r="M229" s="1197">
        <f>C229-D229</f>
        <v/>
      </c>
      <c r="N229" s="342">
        <f>M229*2.5/100</f>
        <v/>
      </c>
    </row>
    <row r="230" ht="19.5" customHeight="1" thickBot="1">
      <c r="A230" s="1200" t="inlineStr">
        <is>
          <t>Total</t>
        </is>
      </c>
      <c r="B230" s="973" t="n"/>
      <c r="C230" s="971">
        <f>SUM(C223:C229)</f>
        <v/>
      </c>
      <c r="D230" s="971">
        <f>SUM(D223:D229)</f>
        <v/>
      </c>
      <c r="E230" s="971">
        <f>SUM(E223:E229)</f>
        <v/>
      </c>
      <c r="F230" s="971">
        <f>SUM(F223:F229)</f>
        <v/>
      </c>
      <c r="G230" s="971">
        <f>SUM(G223:G229)</f>
        <v/>
      </c>
      <c r="H230" s="971" t="n"/>
      <c r="I230" s="971">
        <f>SUM(I223:I229)</f>
        <v/>
      </c>
      <c r="J230" s="971">
        <f>SUM(J223:J229)</f>
        <v/>
      </c>
      <c r="K230" s="971" t="n"/>
      <c r="L230" s="971">
        <f>SUM(L223:L229)</f>
        <v/>
      </c>
      <c r="M230" s="971">
        <f>SUM(M223:M229)</f>
        <v/>
      </c>
    </row>
    <row r="232" ht="18.75" customHeight="1">
      <c r="B232" s="1201" t="inlineStr">
        <is>
          <t>Total Credit Side</t>
        </is>
      </c>
      <c r="C232" s="1202">
        <f>+D218+F218+M218+D230+F230+M230</f>
        <v/>
      </c>
      <c r="D232" s="985" t="n"/>
      <c r="I232" s="985" t="n"/>
    </row>
    <row r="233" ht="18.75" customHeight="1">
      <c r="B233" s="1201" t="inlineStr">
        <is>
          <t>Total Debit Side</t>
        </is>
      </c>
      <c r="C233" s="140">
        <f>+I218+J218+G218+E218+E230+G230+I230+J230+H218+K218</f>
        <v/>
      </c>
    </row>
    <row r="235">
      <c r="A235">
        <f>+'SUN REALTY-CALC'!A119</f>
        <v/>
      </c>
    </row>
  </sheetData>
  <autoFilter ref="A7:N216"/>
  <mergeCells count="29">
    <mergeCell ref="C221:C222"/>
    <mergeCell ref="F221:F222"/>
    <mergeCell ref="A4:M4"/>
    <mergeCell ref="A7:A8"/>
    <mergeCell ref="G7:G8"/>
    <mergeCell ref="I7:I8"/>
    <mergeCell ref="A221:A222"/>
    <mergeCell ref="M7:M8"/>
    <mergeCell ref="E221:E222"/>
    <mergeCell ref="D7:D8"/>
    <mergeCell ref="I221:I222"/>
    <mergeCell ref="H7:H8"/>
    <mergeCell ref="J7:J8"/>
    <mergeCell ref="L221:L222"/>
    <mergeCell ref="G221:G222"/>
    <mergeCell ref="A1:M3"/>
    <mergeCell ref="D221:D222"/>
    <mergeCell ref="J221:J222"/>
    <mergeCell ref="C7:C8"/>
    <mergeCell ref="E7:E8"/>
    <mergeCell ref="A220:I220"/>
    <mergeCell ref="B221:B222"/>
    <mergeCell ref="M221:M222"/>
    <mergeCell ref="A6:C6"/>
    <mergeCell ref="A230:B230"/>
    <mergeCell ref="B7:B8"/>
    <mergeCell ref="F7:F8"/>
    <mergeCell ref="L7:L8"/>
    <mergeCell ref="N7:N8"/>
  </mergeCells>
  <conditionalFormatting sqref="B1:B23 B116:B1048576">
    <cfRule type="duplicateValues" priority="1" dxfId="0"/>
  </conditionalFormatting>
  <pageMargins left="0.7" right="0.7" top="0.75" bottom="0.75" header="0.3" footer="0.3"/>
  <pageSetup orientation="portrait" paperSize="9" horizontalDpi="300" verticalDpi="300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O160"/>
  <sheetViews>
    <sheetView topLeftCell="A8" zoomScaleNormal="100" workbookViewId="0">
      <selection activeCell="B17" sqref="B17"/>
    </sheetView>
  </sheetViews>
  <sheetFormatPr baseColWidth="8" defaultColWidth="9.140625" defaultRowHeight="14.25"/>
  <cols>
    <col width="67.7109375" customWidth="1" style="1" min="1" max="1"/>
    <col width="17.140625" bestFit="1" customWidth="1" style="1" min="2" max="2"/>
    <col width="14.140625" customWidth="1" style="1" min="3" max="3"/>
    <col width="14.5703125" customWidth="1" style="1" min="4" max="4"/>
    <col width="12.5703125" bestFit="1" customWidth="1" style="1" min="5" max="6"/>
    <col width="10.42578125" bestFit="1" customWidth="1" style="1" min="7" max="7"/>
    <col width="14.85546875" bestFit="1" customWidth="1" style="1" min="8" max="8"/>
    <col width="10.28515625" bestFit="1" customWidth="1" style="1" min="9" max="9"/>
    <col width="9.140625" customWidth="1" style="1" min="10" max="14"/>
    <col width="9.28515625" bestFit="1" customWidth="1" style="1" min="15" max="15"/>
    <col width="9.140625" customWidth="1" style="1" min="16" max="16384"/>
  </cols>
  <sheetData>
    <row r="1" ht="32.25" customHeight="1" thickBot="1">
      <c r="A1" s="573" t="inlineStr">
        <is>
          <t>Sun Realty Footprint</t>
        </is>
      </c>
      <c r="B1" s="574" t="n"/>
      <c r="C1" s="574" t="n"/>
      <c r="D1" s="574" t="n"/>
      <c r="E1" s="574" t="n"/>
      <c r="F1" s="574" t="n"/>
      <c r="G1" s="574" t="n"/>
      <c r="H1" s="575" t="n"/>
      <c r="J1" s="770" t="n"/>
    </row>
    <row r="2" ht="15" customHeight="1" thickBot="1">
      <c r="A2" s="1203" t="inlineStr">
        <is>
          <t xml:space="preserve">                      GST PAYABLE ON COMMERCIAL CONSTRUCTION  FOR THE MONTH OF AUG'26</t>
        </is>
      </c>
      <c r="B2" s="1204" t="n"/>
      <c r="C2" s="1204" t="n"/>
      <c r="D2" s="1204" t="n"/>
      <c r="E2" s="1204" t="n"/>
      <c r="F2" s="1204" t="n"/>
      <c r="G2" s="1204" t="n"/>
      <c r="H2" s="1205" t="n"/>
    </row>
    <row r="3" ht="15" customHeight="1" thickBot="1"/>
    <row r="4" ht="15" customHeight="1" thickBot="1">
      <c r="A4" s="1057" t="inlineStr">
        <is>
          <t>Supply</t>
        </is>
      </c>
      <c r="B4" s="1119" t="inlineStr">
        <is>
          <t>AMOUNT</t>
        </is>
      </c>
      <c r="C4" s="997" t="inlineStr">
        <is>
          <t>RATE</t>
        </is>
      </c>
      <c r="D4" s="997" t="inlineStr">
        <is>
          <t xml:space="preserve">CGST </t>
        </is>
      </c>
      <c r="E4" s="997" t="inlineStr">
        <is>
          <t>SGST</t>
        </is>
      </c>
      <c r="F4" s="998" t="inlineStr">
        <is>
          <t>TOTAL</t>
        </is>
      </c>
    </row>
    <row r="5">
      <c r="A5" s="1120" t="n"/>
      <c r="B5" s="1000" t="n"/>
      <c r="C5" s="1000" t="n"/>
      <c r="D5" s="1000" t="n"/>
      <c r="E5" s="1000" t="n"/>
      <c r="F5" s="1001" t="n"/>
    </row>
    <row r="6">
      <c r="A6" s="1121" t="inlineStr">
        <is>
          <t>SUN REALTY Footprint RESIDENTIAL</t>
        </is>
      </c>
      <c r="B6" s="1122">
        <f>'SUN REALTY FOOTPRINT- MEMBERS'!M218</f>
        <v/>
      </c>
      <c r="C6" s="734" t="n">
        <v>0.01</v>
      </c>
      <c r="D6" s="1206">
        <f>B6*0.5%</f>
        <v/>
      </c>
      <c r="E6" s="1206">
        <f>B6*0.5/100</f>
        <v/>
      </c>
      <c r="F6" s="1207">
        <f>+D6+E6</f>
        <v/>
      </c>
      <c r="G6" s="1007" t="n"/>
      <c r="H6" s="1007" t="n"/>
    </row>
    <row r="7">
      <c r="A7" s="1121" t="inlineStr">
        <is>
          <t xml:space="preserve">Less : Refund </t>
        </is>
      </c>
      <c r="B7" s="1122">
        <f>-'SUN REALTY FOOTPRINT- MEMBERS'!I218</f>
        <v/>
      </c>
      <c r="C7" s="734" t="n">
        <v>0.01</v>
      </c>
      <c r="D7" s="982">
        <f>B7*0.5%</f>
        <v/>
      </c>
      <c r="E7" s="982">
        <f>D7</f>
        <v/>
      </c>
      <c r="F7" s="1092">
        <f>+D7+E7</f>
        <v/>
      </c>
      <c r="H7" s="1007" t="n"/>
    </row>
    <row r="8" ht="28.5" customHeight="1">
      <c r="A8" s="1124" t="inlineStr">
        <is>
          <t>Less: Entry RECTIFIED IN BOOKS OF APRIL-26
F-401, Shubham S/o Gajendra Kumar Mishra</t>
        </is>
      </c>
      <c r="B8" s="1122" t="n">
        <v>-2800</v>
      </c>
      <c r="C8" s="734" t="n">
        <v>0.01</v>
      </c>
      <c r="D8" s="982">
        <f>B8*0.5%</f>
        <v/>
      </c>
      <c r="E8" s="982">
        <f>D8</f>
        <v/>
      </c>
      <c r="F8" s="1092">
        <f>+D8+E8</f>
        <v/>
      </c>
      <c r="H8" s="1007">
        <f>38921</f>
        <v/>
      </c>
    </row>
    <row r="9" ht="38.25" customHeight="1">
      <c r="A9" s="1124" t="inlineStr">
        <is>
          <t>LESS : REFUND/PAYMENT ENTRY DELETED FROM BOOKS OF APR-26
D-503,Hansaben Kanakray Rathod_cancelled</t>
        </is>
      </c>
      <c r="B9" s="1122" t="n">
        <v>420792</v>
      </c>
      <c r="C9" s="734" t="n">
        <v>0.01</v>
      </c>
      <c r="D9" s="982">
        <f>B9*0.5%</f>
        <v/>
      </c>
      <c r="E9" s="982">
        <f>D9</f>
        <v/>
      </c>
      <c r="F9" s="1092">
        <f>+D9+E9</f>
        <v/>
      </c>
      <c r="H9" s="1007" t="n">
        <v>36121</v>
      </c>
    </row>
    <row r="10">
      <c r="A10" s="1121" t="n"/>
      <c r="B10" s="1122" t="n"/>
      <c r="C10" s="734" t="n"/>
      <c r="D10" s="982" t="n"/>
      <c r="E10" s="982" t="n"/>
      <c r="F10" s="1092" t="n"/>
      <c r="H10" s="1007">
        <f>+H8-H9</f>
        <v/>
      </c>
    </row>
    <row r="11">
      <c r="A11" s="1121" t="inlineStr">
        <is>
          <t>SUN REALTY Footprint COMMERCIAL</t>
        </is>
      </c>
      <c r="B11" s="1122">
        <f>+'SUN REALTY FOOTPRINT- MEMBERS'!M230</f>
        <v/>
      </c>
      <c r="C11" s="734" t="n">
        <v>0.05</v>
      </c>
      <c r="D11" s="982">
        <f>B11*C11/2</f>
        <v/>
      </c>
      <c r="E11" s="982">
        <f>B11*C11/2</f>
        <v/>
      </c>
      <c r="F11" s="1092">
        <f>+D11+E11</f>
        <v/>
      </c>
      <c r="G11" s="1007" t="n"/>
      <c r="H11" s="1007" t="n"/>
      <c r="I11" s="1208" t="n"/>
    </row>
    <row r="12">
      <c r="A12" s="1121" t="inlineStr">
        <is>
          <t xml:space="preserve">Less : Refund </t>
        </is>
      </c>
      <c r="B12" s="1122">
        <f>-'SUN REALTY FOOTPRINT- MEMBERS'!I230</f>
        <v/>
      </c>
      <c r="C12" s="734" t="n">
        <v>0.05</v>
      </c>
      <c r="D12" s="982">
        <f>B12*C12/2</f>
        <v/>
      </c>
      <c r="E12" s="982">
        <f>B12*C12/2</f>
        <v/>
      </c>
      <c r="F12" s="1092">
        <f>+D12+E12</f>
        <v/>
      </c>
      <c r="G12" s="1125" t="n"/>
    </row>
    <row r="13" ht="15" customHeight="1" thickBot="1">
      <c r="A13" s="1126" t="n"/>
      <c r="B13" s="1003" t="n"/>
      <c r="C13" s="381" t="n"/>
      <c r="D13" s="1005" t="n"/>
      <c r="E13" s="1005" t="n"/>
      <c r="F13" s="1006" t="n"/>
      <c r="G13" s="1125" t="n"/>
    </row>
    <row r="14" ht="15" customHeight="1" thickBot="1">
      <c r="A14" s="1082" t="inlineStr">
        <is>
          <t>TOTAL</t>
        </is>
      </c>
      <c r="B14" s="1168">
        <f>SUM(B6:B13)</f>
        <v/>
      </c>
      <c r="C14" s="1011" t="n"/>
      <c r="D14" s="1011">
        <f>SUM(D6:D13)</f>
        <v/>
      </c>
      <c r="E14" s="1011">
        <f>SUM(E6:E13)</f>
        <v/>
      </c>
      <c r="F14" s="1012">
        <f>SUM(F6:F13)</f>
        <v/>
      </c>
      <c r="G14" s="1125" t="n"/>
    </row>
    <row r="15">
      <c r="A15" s="1140" t="inlineStr">
        <is>
          <t>B2C</t>
        </is>
      </c>
      <c r="B15" s="1209" t="n"/>
      <c r="C15" s="1210" t="n"/>
      <c r="D15" s="1210" t="n"/>
      <c r="E15" s="1210" t="n"/>
      <c r="F15" s="1210" t="n"/>
      <c r="G15" s="1125" t="n"/>
    </row>
    <row r="16">
      <c r="A16" s="1137" t="inlineStr">
        <is>
          <t>Cancellation Charges Income</t>
        </is>
      </c>
      <c r="B16" s="1138" t="n"/>
      <c r="C16" s="449" t="n">
        <v>0.18</v>
      </c>
      <c r="D16" s="1135">
        <f>B16*C16/2</f>
        <v/>
      </c>
      <c r="E16" s="1135">
        <f>B16*C16/2</f>
        <v/>
      </c>
      <c r="F16" s="1135">
        <f>+D16+E16</f>
        <v/>
      </c>
      <c r="G16" s="1125" t="n"/>
    </row>
    <row r="17" ht="15" customHeight="1" thickBot="1">
      <c r="A17" s="391" t="inlineStr">
        <is>
          <t>After BU sale deed Exempt sale</t>
        </is>
      </c>
      <c r="B17" s="1003" t="n">
        <v>84631993</v>
      </c>
      <c r="C17" s="663" t="n">
        <v>0</v>
      </c>
      <c r="D17" s="1004" t="n"/>
      <c r="E17" s="1004" t="n"/>
      <c r="F17" s="1211" t="n"/>
      <c r="G17" s="1125" t="n"/>
    </row>
    <row r="18" ht="15" customHeight="1" thickBot="1">
      <c r="A18" s="1082" t="inlineStr">
        <is>
          <t>TOTAL</t>
        </is>
      </c>
      <c r="B18" s="1168">
        <f>+B16+B15+B17</f>
        <v/>
      </c>
      <c r="C18" s="1011" t="n"/>
      <c r="D18" s="1168">
        <f>+D16+D15+D17</f>
        <v/>
      </c>
      <c r="E18" s="1168">
        <f>+E16+E15+E17</f>
        <v/>
      </c>
      <c r="F18" s="1168">
        <f>+F16+F15+F17</f>
        <v/>
      </c>
      <c r="H18" s="1007" t="n"/>
    </row>
    <row r="19" ht="15" customHeight="1" thickBot="1">
      <c r="A19" s="1212" t="inlineStr">
        <is>
          <t>NET TOTAL</t>
        </is>
      </c>
      <c r="B19" s="1213">
        <f>+B14+B18</f>
        <v/>
      </c>
      <c r="C19" s="1214" t="n"/>
      <c r="D19" s="1214">
        <f>+D14+D18</f>
        <v/>
      </c>
      <c r="E19" s="1214">
        <f>+E14+E18</f>
        <v/>
      </c>
      <c r="F19" s="1214">
        <f>+F14+F18</f>
        <v/>
      </c>
      <c r="G19" s="1007" t="n"/>
      <c r="H19" s="1007" t="n"/>
    </row>
    <row r="20" ht="15" customHeight="1" thickBot="1">
      <c r="D20" s="1007" t="n"/>
      <c r="J20" s="770" t="n"/>
    </row>
    <row r="21" ht="15" customHeight="1" thickBot="1">
      <c r="A21" s="1082" t="inlineStr">
        <is>
          <t xml:space="preserve">                  GST PAYABLE UNDER RCM FOR THE MONTH OF AUG-26</t>
        </is>
      </c>
      <c r="B21" s="972" t="n"/>
      <c r="C21" s="972" t="n"/>
      <c r="D21" s="972" t="n"/>
      <c r="E21" s="972" t="n"/>
      <c r="F21" s="973" t="n"/>
      <c r="G21" s="1016" t="n"/>
      <c r="H21" s="1007" t="n"/>
    </row>
    <row r="22" ht="15" customHeight="1" thickBot="1">
      <c r="A22" s="991" t="inlineStr">
        <is>
          <t>.</t>
        </is>
      </c>
      <c r="B22" s="1034" t="n"/>
    </row>
    <row r="23" ht="15" customHeight="1" thickBot="1">
      <c r="A23" s="1057" t="inlineStr">
        <is>
          <t>Service</t>
        </is>
      </c>
      <c r="B23" s="1119" t="inlineStr">
        <is>
          <t>AMOUNT</t>
        </is>
      </c>
      <c r="C23" s="997" t="inlineStr">
        <is>
          <t>RATE</t>
        </is>
      </c>
      <c r="D23" s="997" t="inlineStr">
        <is>
          <t>CGST</t>
        </is>
      </c>
      <c r="E23" s="997" t="inlineStr">
        <is>
          <t>SGST</t>
        </is>
      </c>
      <c r="F23" s="998" t="inlineStr">
        <is>
          <t>TOTAL</t>
        </is>
      </c>
    </row>
    <row r="24">
      <c r="A24" s="1215" t="n"/>
      <c r="B24" s="1003" t="n"/>
      <c r="C24" s="663" t="n"/>
      <c r="D24" s="1005" t="n"/>
      <c r="E24" s="1005" t="n"/>
      <c r="F24" s="1006" t="n"/>
    </row>
    <row r="25">
      <c r="A25" s="1190" t="inlineStr">
        <is>
          <t>SUN REALTY Footprint</t>
        </is>
      </c>
      <c r="B25" s="1122" t="n"/>
      <c r="C25" s="734" t="n"/>
      <c r="D25" s="982" t="n"/>
      <c r="E25" s="982" t="n"/>
      <c r="F25" s="1092" t="n"/>
    </row>
    <row r="26">
      <c r="A26" s="1216" t="inlineStr">
        <is>
          <t>Advocate fees</t>
        </is>
      </c>
      <c r="B26" s="1122" t="n">
        <v>0</v>
      </c>
      <c r="C26" s="602" t="n">
        <v>0.18</v>
      </c>
      <c r="D26" s="1206">
        <f>+B26*9/100</f>
        <v/>
      </c>
      <c r="E26" s="1206">
        <f>+D26</f>
        <v/>
      </c>
      <c r="F26" s="1207">
        <f>+D26+E26</f>
        <v/>
      </c>
    </row>
    <row r="27">
      <c r="A27" s="1216" t="inlineStr">
        <is>
          <t>Carting and Transportation (Gayatri Sales Corp)</t>
        </is>
      </c>
      <c r="B27" s="1122" t="n"/>
      <c r="C27" s="602" t="n">
        <v>0.05</v>
      </c>
      <c r="D27" s="1206">
        <f>+B27*0.025</f>
        <v/>
      </c>
      <c r="E27" s="1206">
        <f>+D27</f>
        <v/>
      </c>
      <c r="F27" s="1207">
        <f>+D27+E27</f>
        <v/>
      </c>
    </row>
    <row r="28">
      <c r="A28" s="1216" t="inlineStr">
        <is>
          <t>Security Services</t>
        </is>
      </c>
      <c r="B28" s="1122" t="n"/>
      <c r="C28" s="602" t="n">
        <v>0.18</v>
      </c>
      <c r="D28" s="1206">
        <f>+B28*9%</f>
        <v/>
      </c>
      <c r="E28" s="1206">
        <f>+B28*9%</f>
        <v/>
      </c>
      <c r="F28" s="1207">
        <f>SUM(D28:E28)</f>
        <v/>
      </c>
    </row>
    <row r="29">
      <c r="A29" s="1216" t="inlineStr">
        <is>
          <t>Sponsor Ship Exp</t>
        </is>
      </c>
      <c r="B29" s="1122" t="n"/>
      <c r="C29" s="602" t="n">
        <v>0.18</v>
      </c>
      <c r="D29" s="1206">
        <f>+B29*9%</f>
        <v/>
      </c>
      <c r="E29" s="1206">
        <f>+B29*9%</f>
        <v/>
      </c>
      <c r="F29" s="1207">
        <f>SUM(D29:E29)</f>
        <v/>
      </c>
    </row>
    <row r="30" ht="15" customHeight="1" thickBot="1">
      <c r="A30" s="1215" t="n"/>
      <c r="B30" s="1003" t="n"/>
      <c r="C30" s="663" t="n"/>
      <c r="D30" s="1005" t="n"/>
      <c r="E30" s="1005" t="n"/>
      <c r="F30" s="1006" t="n"/>
    </row>
    <row r="31" ht="15" customHeight="1" thickBot="1">
      <c r="A31" s="1167" t="inlineStr">
        <is>
          <t>TOTAL</t>
        </is>
      </c>
      <c r="B31" s="1182">
        <f>SUM(B25:B30)</f>
        <v/>
      </c>
      <c r="C31" s="1182" t="n"/>
      <c r="D31" s="1182">
        <f>SUM(D25:D30)</f>
        <v/>
      </c>
      <c r="E31" s="1182">
        <f>SUM(E25:E30)</f>
        <v/>
      </c>
      <c r="F31" s="1182">
        <f>SUM(F25:F30)</f>
        <v/>
      </c>
    </row>
    <row r="32" ht="15" customHeight="1" thickBot="1">
      <c r="A32" s="1056" t="n"/>
      <c r="B32" s="1016" t="n"/>
      <c r="C32" s="1016" t="n"/>
      <c r="D32" s="1016" t="n"/>
      <c r="E32" s="1016" t="n"/>
      <c r="F32" s="1056" t="n"/>
      <c r="G32" s="1016" t="n"/>
      <c r="H32" s="1016" t="n"/>
    </row>
    <row r="33" ht="15" customHeight="1" thickBot="1">
      <c r="A33" s="1082" t="inlineStr">
        <is>
          <t xml:space="preserve">                    INELIGIBLE CREDIT FOR THE MONTH OF AUG -26</t>
        </is>
      </c>
      <c r="B33" s="972" t="n"/>
      <c r="C33" s="972" t="n"/>
      <c r="D33" s="973" t="n"/>
      <c r="E33" s="1016" t="n"/>
      <c r="F33" s="1016" t="n"/>
      <c r="G33" s="1016" t="n"/>
      <c r="H33" s="1016" t="n"/>
    </row>
    <row r="34" ht="15" customHeight="1" thickBot="1">
      <c r="A34" s="991" t="n"/>
      <c r="B34" s="991" t="n"/>
      <c r="C34" s="991" t="n"/>
      <c r="D34" s="991" t="n"/>
      <c r="E34" s="991" t="n"/>
      <c r="F34" s="991" t="n"/>
      <c r="G34" s="991" t="n"/>
      <c r="H34" s="991" t="n"/>
    </row>
    <row r="35" ht="15" customHeight="1" thickBot="1">
      <c r="A35" s="1035" t="inlineStr">
        <is>
          <t>PARTICULARS</t>
        </is>
      </c>
      <c r="B35" s="1217" t="inlineStr">
        <is>
          <t>CGST</t>
        </is>
      </c>
      <c r="C35" s="1057" t="inlineStr">
        <is>
          <t>SGST</t>
        </is>
      </c>
      <c r="D35" s="1057" t="inlineStr">
        <is>
          <t>IGST</t>
        </is>
      </c>
      <c r="E35" s="1034" t="n"/>
      <c r="F35" s="991" t="n"/>
      <c r="G35" s="991" t="n"/>
      <c r="H35" s="991" t="n"/>
    </row>
    <row r="36">
      <c r="A36" s="1218" t="n"/>
      <c r="B36" s="1219" t="n"/>
      <c r="C36" s="1037" t="n"/>
      <c r="D36" s="1218" t="n"/>
      <c r="E36" s="1034" t="n"/>
      <c r="F36" s="991" t="n"/>
      <c r="G36" s="991" t="n"/>
      <c r="H36" s="991" t="n"/>
    </row>
    <row r="37">
      <c r="A37" s="1220" t="inlineStr">
        <is>
          <t xml:space="preserve"> ITC FOR THE  AUG-26</t>
        </is>
      </c>
      <c r="B37" s="1177">
        <f>739575.92</f>
        <v/>
      </c>
      <c r="C37" s="1221">
        <f>+B37</f>
        <v/>
      </c>
      <c r="D37" s="1221" t="n"/>
      <c r="E37" s="1033" t="n"/>
      <c r="F37" s="991" t="n"/>
      <c r="G37" s="991" t="n"/>
      <c r="H37" s="991" t="n"/>
    </row>
    <row r="38">
      <c r="A38" s="1220" t="inlineStr">
        <is>
          <t xml:space="preserve">Add: Ineligible ITC </t>
        </is>
      </c>
      <c r="B38" s="1222" t="n"/>
      <c r="C38" s="1221">
        <f>+B38</f>
        <v/>
      </c>
      <c r="D38" s="1221" t="n"/>
      <c r="E38" s="1033" t="n"/>
      <c r="F38" s="991" t="n"/>
      <c r="G38" s="991" t="n"/>
      <c r="H38" s="991" t="n"/>
    </row>
    <row r="39">
      <c r="A39" s="1220" t="inlineStr">
        <is>
          <t>Add: Ineligible ITC  FOR RCM</t>
        </is>
      </c>
      <c r="B39" s="1222">
        <f>+D31</f>
        <v/>
      </c>
      <c r="C39" s="1221">
        <f>+E31</f>
        <v/>
      </c>
      <c r="D39" s="1221" t="n"/>
      <c r="E39" s="1033" t="n"/>
      <c r="F39" s="991" t="n"/>
      <c r="G39" s="991" t="n"/>
      <c r="H39" s="991" t="n"/>
    </row>
    <row r="40" ht="15" customHeight="1" thickBot="1">
      <c r="A40" s="1223" t="inlineStr">
        <is>
          <t xml:space="preserve">         Total ineligible CENVAYT</t>
        </is>
      </c>
      <c r="B40" s="1224">
        <f>SUM(B37:B39)</f>
        <v/>
      </c>
      <c r="C40" s="1072">
        <f>SUM(C37:C39)</f>
        <v/>
      </c>
      <c r="D40" s="1072">
        <f>SUM(D37:D39)</f>
        <v/>
      </c>
      <c r="E40" s="1033" t="n"/>
      <c r="F40" s="1074" t="n"/>
      <c r="G40" s="1074" t="n"/>
      <c r="H40" s="1074" t="n"/>
    </row>
    <row r="41" ht="15" customHeight="1" thickBot="1">
      <c r="A41" s="1167" t="inlineStr">
        <is>
          <t>TOTAL</t>
        </is>
      </c>
      <c r="B41" s="1225">
        <f>SUM(B40:B40)</f>
        <v/>
      </c>
      <c r="C41" s="1182">
        <f>SUM(C40:C40)</f>
        <v/>
      </c>
      <c r="D41" s="1182">
        <f>SUM(D40:D40)</f>
        <v/>
      </c>
      <c r="E41" s="1016" t="n"/>
      <c r="F41" s="1016" t="n"/>
      <c r="G41" s="1016" t="n"/>
      <c r="H41" s="991" t="n"/>
    </row>
    <row r="42">
      <c r="A42" s="1056" t="n"/>
      <c r="B42" s="1016" t="n"/>
      <c r="C42" s="1016" t="n"/>
      <c r="D42" s="1016" t="n"/>
      <c r="E42" s="1016" t="n"/>
      <c r="F42" s="991" t="n"/>
      <c r="G42" s="991" t="n"/>
      <c r="H42" s="991" t="n"/>
    </row>
    <row r="43" ht="15" customHeight="1" thickBot="1"/>
    <row r="44" ht="15" customHeight="1" thickBot="1">
      <c r="A44" s="1082" t="inlineStr">
        <is>
          <t xml:space="preserve">                GST Payable for the month of AUG'26</t>
        </is>
      </c>
      <c r="B44" s="972" t="n"/>
      <c r="C44" s="972" t="n"/>
      <c r="D44" s="973" t="n"/>
      <c r="E44" s="1016" t="n"/>
      <c r="F44" s="1016" t="n"/>
      <c r="G44" s="1016" t="n"/>
    </row>
    <row r="45" ht="15" customHeight="1" thickBot="1">
      <c r="C45" s="442" t="n"/>
      <c r="D45" s="442" t="n"/>
      <c r="E45" s="1083" t="n"/>
    </row>
    <row r="46" ht="16.5" customHeight="1" thickBot="1">
      <c r="A46" s="1035" t="inlineStr">
        <is>
          <t>PARTICULARS</t>
        </is>
      </c>
      <c r="B46" s="1217" t="inlineStr">
        <is>
          <t>CGST</t>
        </is>
      </c>
      <c r="C46" s="1057" t="inlineStr">
        <is>
          <t>SGST</t>
        </is>
      </c>
      <c r="D46" s="1057" t="inlineStr">
        <is>
          <t>TOTAL</t>
        </is>
      </c>
      <c r="E46" s="433" t="n"/>
    </row>
    <row r="47">
      <c r="A47" s="347" t="n"/>
      <c r="B47" s="1033" t="n"/>
      <c r="C47" s="1069" t="n"/>
      <c r="D47" s="1069" t="n"/>
      <c r="E47" s="991" t="n"/>
    </row>
    <row r="48">
      <c r="A48" s="603">
        <f>+A6</f>
        <v/>
      </c>
      <c r="B48" s="1222">
        <f>+D19</f>
        <v/>
      </c>
      <c r="C48" s="1221">
        <f>+E19</f>
        <v/>
      </c>
      <c r="D48" s="1221">
        <f>+F19</f>
        <v/>
      </c>
      <c r="E48" s="1033" t="n"/>
    </row>
    <row r="49">
      <c r="A49" s="604" t="n"/>
      <c r="B49" s="1222" t="n"/>
      <c r="C49" s="1221" t="n"/>
      <c r="D49" s="1221" t="n"/>
      <c r="E49" s="1033" t="n"/>
    </row>
    <row r="50">
      <c r="A50" s="604" t="inlineStr">
        <is>
          <t>TOTAL PAYABLE FOR RESIDENTIAL INCLUDING IGST</t>
        </is>
      </c>
      <c r="B50" s="1222">
        <f>+B48+B49</f>
        <v/>
      </c>
      <c r="C50" s="1221">
        <f>+C48+C49</f>
        <v/>
      </c>
      <c r="D50" s="1221">
        <f>+D48+D49</f>
        <v/>
      </c>
      <c r="E50" s="1033" t="n"/>
    </row>
    <row r="51">
      <c r="A51" s="604" t="n"/>
      <c r="B51" s="1222" t="n"/>
      <c r="C51" s="1221" t="n"/>
      <c r="D51" s="1221" t="n"/>
      <c r="E51" s="1033" t="n"/>
    </row>
    <row r="52">
      <c r="A52" s="1190" t="inlineStr">
        <is>
          <t>GST UNDER RCM</t>
        </is>
      </c>
      <c r="B52" s="1222" t="n"/>
      <c r="C52" s="1221" t="n"/>
      <c r="D52" s="1221" t="n"/>
      <c r="E52" s="1033" t="n"/>
    </row>
    <row r="53">
      <c r="A53" s="604" t="inlineStr">
        <is>
          <t>SUN Footprint</t>
        </is>
      </c>
      <c r="B53" s="1222">
        <f>D27+D28+D26+D29</f>
        <v/>
      </c>
      <c r="C53" s="1221">
        <f>B53</f>
        <v/>
      </c>
      <c r="D53" s="1221">
        <f>+B53+C53</f>
        <v/>
      </c>
      <c r="E53" s="1033" t="n"/>
    </row>
    <row r="54" ht="15" customHeight="1" thickBot="1">
      <c r="A54" s="606" t="inlineStr">
        <is>
          <t>SUN OFFICE</t>
        </is>
      </c>
      <c r="B54" s="1224" t="n"/>
      <c r="C54" s="1072" t="n"/>
      <c r="D54" s="1072">
        <f>+B54+C54</f>
        <v/>
      </c>
      <c r="E54" s="1033" t="n"/>
    </row>
    <row r="55" ht="15" customHeight="1" thickBot="1">
      <c r="A55" s="607" t="inlineStr">
        <is>
          <t xml:space="preserve">            GST Payable</t>
        </is>
      </c>
      <c r="B55" s="1226">
        <f>+B50+B53+B54</f>
        <v/>
      </c>
      <c r="C55" s="1085">
        <f>+C50+C53+C54</f>
        <v/>
      </c>
      <c r="D55" s="1085">
        <f>+D50+D53+D54</f>
        <v/>
      </c>
      <c r="E55" s="1086" t="n"/>
      <c r="F55" s="1007" t="n"/>
      <c r="G55" s="1007" t="n"/>
    </row>
    <row r="56" ht="15" customHeight="1" thickBot="1">
      <c r="A56" s="605" t="inlineStr">
        <is>
          <t xml:space="preserve">           Net GST Payable</t>
        </is>
      </c>
      <c r="B56" s="1227">
        <f>+B55</f>
        <v/>
      </c>
      <c r="C56" s="1194">
        <f>+C55</f>
        <v/>
      </c>
      <c r="D56" s="1194">
        <f>+D55</f>
        <v/>
      </c>
      <c r="E56" s="1086" t="n"/>
      <c r="F56" s="440" t="n"/>
      <c r="G56" s="1007" t="n"/>
    </row>
    <row r="62">
      <c r="A62" s="1">
        <f>+'SUN REALTY ATMOS-MEMBERS COLL'!B112</f>
        <v/>
      </c>
    </row>
    <row r="103">
      <c r="H103" s="1007" t="n"/>
    </row>
    <row r="160">
      <c r="O160" s="1">
        <f>9957</f>
        <v/>
      </c>
    </row>
  </sheetData>
  <mergeCells count="4">
    <mergeCell ref="A21:F21"/>
    <mergeCell ref="B22:H22"/>
    <mergeCell ref="A33:D33"/>
    <mergeCell ref="A44:D44"/>
  </mergeCells>
  <hyperlinks>
    <hyperlink xmlns:r="http://schemas.openxmlformats.org/officeDocument/2006/relationships" ref="E4" r:id="rId1"/>
    <hyperlink xmlns:r="http://schemas.openxmlformats.org/officeDocument/2006/relationships" ref="E23" r:id="rId2"/>
  </hyperlinks>
  <pageMargins left="0.7" right="0.7" top="0.75" bottom="0.75" header="0.3" footer="0.3"/>
  <pageSetup orientation="portrait" paperSize="9"/>
  <drawing xmlns:r="http://schemas.openxmlformats.org/officeDocument/2006/relationships" r:id="rId3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N102"/>
  <sheetViews>
    <sheetView zoomScale="73" zoomScaleNormal="77" workbookViewId="0">
      <pane xSplit="2" ySplit="8" topLeftCell="E49" activePane="bottomRight" state="frozen"/>
      <selection pane="topRight" activeCell="C1" sqref="C1"/>
      <selection pane="bottomLeft" activeCell="A9" sqref="A9"/>
      <selection pane="bottomRight" activeCell="L59" sqref="L59"/>
    </sheetView>
  </sheetViews>
  <sheetFormatPr baseColWidth="8" defaultColWidth="9.140625" defaultRowHeight="15"/>
  <cols>
    <col width="23.28515625" customWidth="1" min="1" max="1"/>
    <col width="60" customWidth="1" min="2" max="2"/>
    <col width="22.42578125" bestFit="1" customWidth="1" min="3" max="3"/>
    <col width="24.42578125" customWidth="1" min="4" max="4"/>
    <col width="21.7109375" customWidth="1" min="5" max="7"/>
    <col width="20" customWidth="1" min="8" max="9"/>
    <col width="21.7109375" bestFit="1" customWidth="1" min="10" max="11"/>
    <col width="13.42578125" bestFit="1" customWidth="1" min="12" max="12"/>
    <col width="11.28515625" bestFit="1" customWidth="1" min="13" max="13"/>
  </cols>
  <sheetData>
    <row r="1">
      <c r="A1" s="1196" t="inlineStr">
        <is>
          <t>Sun Realty</t>
        </is>
      </c>
      <c r="B1" s="964" t="n"/>
      <c r="C1" s="964" t="n"/>
      <c r="D1" s="964" t="n"/>
      <c r="E1" s="964" t="n"/>
      <c r="F1" s="964" t="n"/>
      <c r="G1" s="964" t="n"/>
      <c r="H1" s="964" t="n"/>
      <c r="I1" s="964" t="n"/>
      <c r="J1" s="964" t="n"/>
      <c r="K1" s="965" t="n"/>
    </row>
    <row r="2">
      <c r="A2" s="966" t="n"/>
      <c r="K2" s="967" t="n"/>
    </row>
    <row r="3" ht="15.75" customHeight="1" thickBot="1">
      <c r="A3" s="968" t="n"/>
      <c r="B3" s="969" t="n"/>
      <c r="C3" s="969" t="n"/>
      <c r="D3" s="969" t="n"/>
      <c r="E3" s="969" t="n"/>
      <c r="F3" s="969" t="n"/>
      <c r="G3" s="969" t="n"/>
      <c r="H3" s="969" t="n"/>
      <c r="I3" s="969" t="n"/>
      <c r="J3" s="969" t="n"/>
      <c r="K3" s="970" t="n"/>
    </row>
    <row r="4" ht="19.5" customHeight="1" thickBot="1">
      <c r="A4" s="971" t="inlineStr">
        <is>
          <t>CALCULATION For the month of  AUG-26</t>
        </is>
      </c>
      <c r="B4" s="972" t="n"/>
      <c r="C4" s="972" t="n"/>
      <c r="D4" s="972" t="n"/>
      <c r="E4" s="972" t="n"/>
      <c r="F4" s="972" t="n"/>
      <c r="G4" s="972" t="n"/>
      <c r="H4" s="972" t="n"/>
      <c r="I4" s="972" t="n"/>
      <c r="J4" s="972" t="n"/>
      <c r="K4" s="973" t="n"/>
    </row>
    <row r="5" ht="18.75" customHeight="1">
      <c r="A5" s="975" t="n"/>
      <c r="B5" s="976" t="n"/>
      <c r="C5" s="976" t="n"/>
      <c r="D5" s="976" t="n"/>
      <c r="E5" s="976" t="n"/>
      <c r="F5" s="976" t="n"/>
      <c r="G5" s="976" t="n"/>
      <c r="H5" s="975" t="n"/>
      <c r="I5" s="975" t="n"/>
      <c r="J5" s="975" t="n"/>
    </row>
    <row r="6" ht="21.75" customHeight="1" thickBot="1">
      <c r="A6" s="1099" t="inlineStr">
        <is>
          <t xml:space="preserve"> MEMBERS COLLECTION</t>
        </is>
      </c>
      <c r="B6" s="969" t="n"/>
      <c r="C6" s="969" t="n"/>
      <c r="D6" s="977" t="n"/>
      <c r="E6" s="977" t="n"/>
      <c r="F6" s="977" t="n"/>
      <c r="G6" s="977" t="n"/>
      <c r="H6" s="975" t="n"/>
      <c r="I6" s="975" t="n"/>
      <c r="J6" s="975" t="n"/>
    </row>
    <row r="7" ht="15" customHeight="1">
      <c r="A7" s="301" t="inlineStr">
        <is>
          <t>Flat No.</t>
        </is>
      </c>
      <c r="B7" s="300" t="inlineStr">
        <is>
          <t>Name of Owner</t>
        </is>
      </c>
      <c r="C7" s="301" t="inlineStr">
        <is>
          <t>CR SIDE</t>
        </is>
      </c>
      <c r="D7" s="301" t="inlineStr">
        <is>
          <t>Receipt of Registration Fees/JV (Cr)</t>
        </is>
      </c>
      <c r="E7" s="301" t="inlineStr">
        <is>
          <t>Payment of Reg Fees on Behalf of Client / JV (Dr)</t>
        </is>
      </c>
      <c r="F7" s="301" t="inlineStr">
        <is>
          <t>Receipt of Stamp Duty/JV (Cr)</t>
        </is>
      </c>
      <c r="G7" s="301" t="inlineStr">
        <is>
          <t>Payment of Stamp Duty/JV (Dr)</t>
        </is>
      </c>
      <c r="H7" s="301" t="inlineStr">
        <is>
          <t>REFUND OF SAME PEROID WITH GST</t>
        </is>
      </c>
      <c r="I7" s="301" t="inlineStr">
        <is>
          <t>CHEQUE RETURN</t>
        </is>
      </c>
      <c r="J7" s="301" t="inlineStr">
        <is>
          <t>REFUND WITHOUT GST</t>
        </is>
      </c>
      <c r="K7" s="301" t="inlineStr">
        <is>
          <t>NET RECEIPT</t>
        </is>
      </c>
      <c r="L7" s="301" t="inlineStr">
        <is>
          <t>GST</t>
        </is>
      </c>
    </row>
    <row r="8" ht="33" customHeight="1" thickBot="1">
      <c r="A8" s="979" t="n"/>
      <c r="B8" s="979" t="n"/>
      <c r="C8" s="979" t="n"/>
      <c r="D8" s="979" t="n"/>
      <c r="E8" s="979" t="n"/>
      <c r="F8" s="979" t="n"/>
      <c r="G8" s="979" t="n"/>
      <c r="H8" s="979" t="n"/>
      <c r="I8" s="979" t="n"/>
      <c r="J8" s="979" t="n"/>
      <c r="K8" s="979" t="n"/>
      <c r="L8" s="979" t="n"/>
    </row>
    <row r="9" ht="21.75" customFormat="1" customHeight="1" s="1">
      <c r="A9" s="359" t="inlineStr">
        <is>
          <t>A/0201</t>
        </is>
      </c>
      <c r="B9" s="357" t="inlineStr">
        <is>
          <t>A-201,Pareshkumar B.Prajapati</t>
        </is>
      </c>
      <c r="C9" s="1228" t="n">
        <v>427256.75</v>
      </c>
      <c r="D9" s="1229" t="n">
        <v>1514.75</v>
      </c>
      <c r="E9" s="1229">
        <f>+D9</f>
        <v/>
      </c>
      <c r="F9" s="1229" t="n"/>
      <c r="G9" s="1229" t="n"/>
      <c r="H9" s="1229" t="n"/>
      <c r="I9" s="1230" t="n"/>
      <c r="J9" s="1230" t="n"/>
      <c r="K9" s="1229">
        <f>C9-D9-F9-I9</f>
        <v/>
      </c>
      <c r="L9" s="769">
        <f>+K9*1%/2</f>
        <v/>
      </c>
    </row>
    <row r="10" ht="15.75" customFormat="1" customHeight="1" s="1">
      <c r="A10" s="351" t="inlineStr">
        <is>
          <t>A/0301</t>
        </is>
      </c>
      <c r="B10" s="357" t="inlineStr">
        <is>
          <t>A-301, Mrs.Ramla Sahu</t>
        </is>
      </c>
      <c r="C10" s="1228" t="n">
        <v>396040</v>
      </c>
      <c r="D10" s="1229" t="n"/>
      <c r="E10" s="1229" t="n"/>
      <c r="F10" s="1229" t="n"/>
      <c r="G10" s="1229" t="n"/>
      <c r="H10" s="1229" t="n"/>
      <c r="I10" s="1230" t="n"/>
      <c r="J10" s="1230" t="n"/>
      <c r="K10" s="1229">
        <f>C10-D10-F10</f>
        <v/>
      </c>
      <c r="L10" s="769">
        <f>+K10*1%/2</f>
        <v/>
      </c>
    </row>
    <row r="11" ht="15.75" customFormat="1" customHeight="1" s="1">
      <c r="A11" s="351" t="inlineStr">
        <is>
          <t xml:space="preserve">A/0302_x000D_
</t>
        </is>
      </c>
      <c r="B11" s="357" t="inlineStr">
        <is>
          <t>A-302, Vishal Vaidhya &amp; Bhakti Vaidhya</t>
        </is>
      </c>
      <c r="C11" s="1228" t="n">
        <v>148515</v>
      </c>
      <c r="D11" s="1229" t="n"/>
      <c r="E11" s="1229" t="n"/>
      <c r="F11" s="1229" t="n"/>
      <c r="G11" s="1229" t="n"/>
      <c r="H11" s="1229" t="n"/>
      <c r="I11" s="1230" t="n"/>
      <c r="J11" s="1230" t="n"/>
      <c r="K11" s="1229">
        <f>C11-D11-F11</f>
        <v/>
      </c>
      <c r="L11" s="769">
        <f>+K11*1%/2</f>
        <v/>
      </c>
    </row>
    <row r="12" ht="15.75" customFormat="1" customHeight="1" s="1">
      <c r="A12" s="351" t="inlineStr">
        <is>
          <t xml:space="preserve">A/0401_x000D_
</t>
        </is>
      </c>
      <c r="B12" s="357" t="inlineStr">
        <is>
          <t>A-401, Dimpalkumar Jayendraprasad Dave</t>
        </is>
      </c>
      <c r="C12" s="1231" t="n">
        <v>257426</v>
      </c>
      <c r="D12" s="1229" t="n"/>
      <c r="E12" s="1229" t="n"/>
      <c r="F12" s="1229" t="n"/>
      <c r="G12" s="1229" t="n"/>
      <c r="H12" s="1229" t="n"/>
      <c r="I12" s="1230" t="n"/>
      <c r="J12" s="1230" t="n"/>
      <c r="K12" s="1229">
        <f>C12-D12-F12</f>
        <v/>
      </c>
      <c r="L12" s="769">
        <f>+K12*1%/2</f>
        <v/>
      </c>
    </row>
    <row r="13" ht="15.75" customFormat="1" customHeight="1" s="1">
      <c r="A13" s="351" t="inlineStr">
        <is>
          <t>A/0501</t>
        </is>
      </c>
      <c r="B13" s="360" t="inlineStr">
        <is>
          <t>A-501, Alpaben Raj</t>
        </is>
      </c>
      <c r="C13" s="1228" t="n">
        <v>1981714.75</v>
      </c>
      <c r="D13" s="1229" t="n">
        <v>1514.75</v>
      </c>
      <c r="E13" s="1229">
        <f>+D13</f>
        <v/>
      </c>
      <c r="F13" s="1229" t="n"/>
      <c r="G13" s="1229" t="n"/>
      <c r="H13" s="1229" t="n"/>
      <c r="I13" s="1230" t="n"/>
      <c r="J13" s="1230" t="n"/>
      <c r="K13" s="1229">
        <f>C13-D13-F13</f>
        <v/>
      </c>
      <c r="L13" s="769">
        <f>+K13*1%/2</f>
        <v/>
      </c>
    </row>
    <row r="14" ht="15.75" customFormat="1" customHeight="1" s="1">
      <c r="A14" s="351" t="inlineStr">
        <is>
          <t>A/0503</t>
        </is>
      </c>
      <c r="B14" s="360" t="inlineStr">
        <is>
          <t>A/503, Shilpa Indoria</t>
        </is>
      </c>
      <c r="C14" s="1228" t="n">
        <v>272278</v>
      </c>
      <c r="D14" s="1229" t="n"/>
      <c r="E14" s="1229">
        <f>+D14</f>
        <v/>
      </c>
      <c r="F14" s="1229" t="n"/>
      <c r="G14" s="1229" t="n"/>
      <c r="H14" s="1229" t="n"/>
      <c r="I14" s="1230" t="n"/>
      <c r="J14" s="1230" t="n"/>
      <c r="K14" s="1229">
        <f>C14-D14-F14</f>
        <v/>
      </c>
      <c r="L14" s="769">
        <f>+K14*1%/2</f>
        <v/>
      </c>
    </row>
    <row r="15" ht="18" customFormat="1" customHeight="1" s="1">
      <c r="A15" s="351" t="inlineStr">
        <is>
          <t>A/0702</t>
        </is>
      </c>
      <c r="B15" s="360" t="inlineStr">
        <is>
          <t>A-702, Rajvi Pankit Shah</t>
        </is>
      </c>
      <c r="C15" s="1228" t="n">
        <v>356436</v>
      </c>
      <c r="D15" s="1229" t="n"/>
      <c r="E15" s="1229">
        <f>+D15</f>
        <v/>
      </c>
      <c r="F15" s="1229" t="n"/>
      <c r="G15" s="1229" t="n"/>
      <c r="H15" s="1232" t="n"/>
      <c r="I15" s="1233" t="n"/>
      <c r="J15" s="1230" t="n"/>
      <c r="K15" s="1229">
        <f>C15-D15-F15</f>
        <v/>
      </c>
      <c r="L15" s="769">
        <f>+K15*1%/2</f>
        <v/>
      </c>
    </row>
    <row r="16" ht="15.75" customFormat="1" customHeight="1" s="1">
      <c r="A16" s="351" t="inlineStr">
        <is>
          <t xml:space="preserve">A/0903_x000D_
</t>
        </is>
      </c>
      <c r="B16" s="360" t="inlineStr">
        <is>
          <t>A/ 903, Hardik Meravan</t>
        </is>
      </c>
      <c r="C16" s="1228" t="n">
        <v>293070</v>
      </c>
      <c r="D16" s="1229" t="n"/>
      <c r="E16" s="1229">
        <f>+D16</f>
        <v/>
      </c>
      <c r="F16" s="1229" t="n"/>
      <c r="G16" s="1229" t="n"/>
      <c r="H16" s="1229" t="n"/>
      <c r="I16" s="1230" t="n"/>
      <c r="J16" s="1230" t="n"/>
      <c r="K16" s="1229">
        <f>C16-D16-F16</f>
        <v/>
      </c>
      <c r="L16" s="769">
        <f>+K16*1%/2</f>
        <v/>
      </c>
    </row>
    <row r="17" ht="15.75" customFormat="1" customHeight="1" s="1">
      <c r="A17" s="351" t="inlineStr">
        <is>
          <t xml:space="preserve">A/1003_x000D_
</t>
        </is>
      </c>
      <c r="B17" s="360" t="inlineStr">
        <is>
          <t>A-1003, Vishal Dobriya</t>
        </is>
      </c>
      <c r="C17" s="1228" t="n">
        <v>556436</v>
      </c>
      <c r="D17" s="1229" t="n"/>
      <c r="E17" s="1229">
        <f>+D17</f>
        <v/>
      </c>
      <c r="F17" s="1229" t="n"/>
      <c r="G17" s="1229" t="n"/>
      <c r="H17" s="1229" t="n"/>
      <c r="I17" s="1230" t="n"/>
      <c r="J17" s="1230" t="n"/>
      <c r="K17" s="1229">
        <f>C17-D17-F17</f>
        <v/>
      </c>
      <c r="L17" s="769">
        <f>+K17*1%/2</f>
        <v/>
      </c>
    </row>
    <row r="18" ht="15.75" customFormat="1" customHeight="1" s="1">
      <c r="A18" s="351" t="inlineStr">
        <is>
          <t>A/1004</t>
        </is>
      </c>
      <c r="B18" s="360" t="inlineStr">
        <is>
          <t>A-1004, Urmila Navin Gala</t>
        </is>
      </c>
      <c r="C18" s="1228" t="n">
        <v>538614</v>
      </c>
      <c r="D18" s="1229" t="n"/>
      <c r="E18" s="1229" t="n"/>
      <c r="F18" s="1229" t="n"/>
      <c r="G18" s="1229" t="n"/>
      <c r="H18" s="1229" t="n"/>
      <c r="I18" s="1230" t="n"/>
      <c r="J18" s="1230" t="n"/>
      <c r="K18" s="1229">
        <f>C18-D18-F18</f>
        <v/>
      </c>
      <c r="L18" s="769">
        <f>+K18*1%/2</f>
        <v/>
      </c>
    </row>
    <row r="19" ht="15.75" customFormat="1" customHeight="1" s="1">
      <c r="A19" s="351" t="inlineStr">
        <is>
          <t xml:space="preserve">A/1103_x000D_
</t>
        </is>
      </c>
      <c r="B19" s="360" t="inlineStr">
        <is>
          <t>A-1103, Jeet Gandhi</t>
        </is>
      </c>
      <c r="C19" s="1228" t="n">
        <v>297030</v>
      </c>
      <c r="D19" s="1229" t="n"/>
      <c r="E19" s="1229">
        <f>+D19</f>
        <v/>
      </c>
      <c r="F19" s="1229" t="n"/>
      <c r="G19" s="1229" t="n"/>
      <c r="H19" s="1229" t="n"/>
      <c r="I19" s="1230" t="n"/>
      <c r="J19" s="1230" t="n"/>
      <c r="K19" s="1229">
        <f>C19-D19-F19</f>
        <v/>
      </c>
      <c r="L19" s="769">
        <f>+K19*1%/2</f>
        <v/>
      </c>
    </row>
    <row r="20" ht="15.75" customFormat="1" customHeight="1" s="1">
      <c r="A20" s="351" t="inlineStr">
        <is>
          <t xml:space="preserve">A/1203_x000D_
</t>
        </is>
      </c>
      <c r="B20" s="360" t="inlineStr">
        <is>
          <t>A/1203 Ashok G. Kagathara</t>
        </is>
      </c>
      <c r="C20" s="1228" t="n">
        <v>331683</v>
      </c>
      <c r="D20" s="1229" t="n"/>
      <c r="E20" s="1229" t="n"/>
      <c r="F20" s="1229" t="n"/>
      <c r="G20" s="1229" t="n"/>
      <c r="H20" s="1229" t="n"/>
      <c r="I20" s="1230" t="n"/>
      <c r="J20" s="1230" t="n"/>
      <c r="K20" s="1229">
        <f>C20-D20-F20</f>
        <v/>
      </c>
      <c r="L20" s="769">
        <f>+K20*1%/2</f>
        <v/>
      </c>
    </row>
    <row r="21" ht="15.75" customFormat="1" customHeight="1" s="1">
      <c r="A21" s="351" t="inlineStr">
        <is>
          <t>A/1303</t>
        </is>
      </c>
      <c r="B21" s="360" t="inlineStr">
        <is>
          <t>A-1303, Ankur Gordhanbhai Patel</t>
        </is>
      </c>
      <c r="C21" s="1228" t="n">
        <v>331684</v>
      </c>
      <c r="D21" s="1229" t="n"/>
      <c r="E21" s="1229" t="n"/>
      <c r="F21" s="1229" t="n"/>
      <c r="G21" s="1229" t="n"/>
      <c r="H21" s="1229" t="n"/>
      <c r="I21" s="1230" t="n"/>
      <c r="J21" s="1230" t="n"/>
      <c r="K21" s="1229">
        <f>C21-D21-F21</f>
        <v/>
      </c>
      <c r="L21" s="769">
        <f>+K21*1%/2</f>
        <v/>
      </c>
    </row>
    <row r="22" ht="18.6" customFormat="1" customHeight="1" s="1">
      <c r="A22" s="351" t="inlineStr">
        <is>
          <t xml:space="preserve">B/0101_x000D_
</t>
        </is>
      </c>
      <c r="B22" s="360" t="inlineStr">
        <is>
          <t>B/101, Dhairya Samirbhai Pandya</t>
        </is>
      </c>
      <c r="C22" s="1228" t="n">
        <v>371288</v>
      </c>
      <c r="D22" s="1229" t="n"/>
      <c r="E22" s="1229" t="n"/>
      <c r="F22" s="1229" t="n"/>
      <c r="G22" s="1229" t="n"/>
      <c r="H22" s="1229" t="n"/>
      <c r="I22" s="1230" t="n"/>
      <c r="J22" s="1230" t="n"/>
      <c r="K22" s="1229">
        <f>C22-D22-F22</f>
        <v/>
      </c>
      <c r="L22" s="769">
        <f>+K22*1%/2</f>
        <v/>
      </c>
    </row>
    <row r="23" ht="15.75" customFormat="1" customHeight="1" s="1">
      <c r="A23" s="351" t="inlineStr">
        <is>
          <t xml:space="preserve">B/0602_x000D_
</t>
        </is>
      </c>
      <c r="B23" s="360" t="inlineStr">
        <is>
          <t>B-602,Vimala Kushwaha</t>
        </is>
      </c>
      <c r="C23" s="1228" t="n">
        <v>396040</v>
      </c>
      <c r="D23" s="1229" t="n"/>
      <c r="E23" s="1229" t="n"/>
      <c r="F23" s="1229" t="n"/>
      <c r="G23" s="1229" t="n"/>
      <c r="H23" s="1229" t="n"/>
      <c r="I23" s="1230" t="n">
        <v>198020</v>
      </c>
      <c r="J23" s="1230" t="n"/>
      <c r="K23" s="1229">
        <f>C23-D23-F23</f>
        <v/>
      </c>
      <c r="L23" s="769">
        <f>+K23*1%/2</f>
        <v/>
      </c>
    </row>
    <row r="24" ht="15.75" customFormat="1" customHeight="1" s="1">
      <c r="A24" s="351" t="inlineStr">
        <is>
          <t>B/0902</t>
        </is>
      </c>
      <c r="B24" s="360" t="inlineStr">
        <is>
          <t>B/902 Himanshu Gupta / Nidhi Gupta</t>
        </is>
      </c>
      <c r="C24" s="1228" t="n">
        <v>278712</v>
      </c>
      <c r="D24" s="1229" t="n"/>
      <c r="E24" s="1229" t="n"/>
      <c r="F24" s="1229" t="n"/>
      <c r="G24" s="1229" t="n"/>
      <c r="H24" s="1229" t="n"/>
      <c r="I24" s="1230" t="n"/>
      <c r="J24" s="1230" t="n"/>
      <c r="K24" s="1229">
        <f>C24-D24-F24</f>
        <v/>
      </c>
      <c r="L24" s="769">
        <f>+K24*1%/2</f>
        <v/>
      </c>
    </row>
    <row r="25" ht="15.75" customFormat="1" customHeight="1" s="1">
      <c r="A25" s="351" t="inlineStr">
        <is>
          <t xml:space="preserve">B/1001_x000D_
</t>
        </is>
      </c>
      <c r="B25" s="360" t="inlineStr">
        <is>
          <t>B-1001,Thakor Rohitji</t>
        </is>
      </c>
      <c r="C25" s="1228" t="n">
        <v>1485149</v>
      </c>
      <c r="D25" s="1229" t="n"/>
      <c r="E25" s="1229" t="n"/>
      <c r="F25" s="1229" t="n"/>
      <c r="G25" s="1229" t="n"/>
      <c r="H25" s="1229" t="n"/>
      <c r="I25" s="1230" t="n">
        <v>990100</v>
      </c>
      <c r="J25" s="1230" t="n"/>
      <c r="K25" s="1229">
        <f>C25-D25-F25</f>
        <v/>
      </c>
      <c r="L25" s="769">
        <f>+K25*1%/2</f>
        <v/>
      </c>
    </row>
    <row r="26" ht="15.75" customFormat="1" customHeight="1" s="1">
      <c r="A26" s="351" t="inlineStr">
        <is>
          <t xml:space="preserve">B/1101_x000D_
</t>
        </is>
      </c>
      <c r="B26" s="360" t="inlineStr">
        <is>
          <t>B-1101. Savitriben Thakor</t>
        </is>
      </c>
      <c r="C26" s="1228" t="n">
        <v>1942574</v>
      </c>
      <c r="D26" s="1229" t="n"/>
      <c r="E26" s="1229" t="n"/>
      <c r="F26" s="1229" t="n"/>
      <c r="G26" s="1229" t="n"/>
      <c r="H26" s="1229" t="n"/>
      <c r="I26" s="1230" t="n"/>
      <c r="J26" s="1230" t="n"/>
      <c r="K26" s="1229">
        <f>C26-D26-F26</f>
        <v/>
      </c>
      <c r="L26" s="769">
        <f>+K26*1%/2</f>
        <v/>
      </c>
    </row>
    <row r="27" ht="15.75" customFormat="1" customHeight="1" s="1">
      <c r="A27" s="351" t="inlineStr">
        <is>
          <t>C/0501</t>
        </is>
      </c>
      <c r="B27" s="360" t="inlineStr">
        <is>
          <t>C-501, Audesh Mansaram Vishvakarma</t>
        </is>
      </c>
      <c r="C27" s="1228" t="n">
        <v>297030</v>
      </c>
      <c r="D27" s="1229" t="n"/>
      <c r="E27" s="1229" t="n"/>
      <c r="F27" s="1229" t="n"/>
      <c r="G27" s="1229" t="n"/>
      <c r="H27" s="1229" t="n"/>
      <c r="I27" s="1230" t="n"/>
      <c r="J27" s="1230" t="n"/>
      <c r="K27" s="1229">
        <f>C27-D27-F27-I27</f>
        <v/>
      </c>
      <c r="L27" s="769">
        <f>+K27*1%/2</f>
        <v/>
      </c>
    </row>
    <row r="28" ht="15.75" customFormat="1" customHeight="1" s="1">
      <c r="A28" s="351" t="inlineStr">
        <is>
          <t>D/0201</t>
        </is>
      </c>
      <c r="B28" s="360" t="inlineStr">
        <is>
          <t>D-201, Riddhi Bhavya Kothari</t>
        </is>
      </c>
      <c r="C28" s="1228" t="n">
        <v>940594</v>
      </c>
      <c r="D28" s="1229" t="n"/>
      <c r="E28" s="1229" t="n"/>
      <c r="F28" s="1229" t="n"/>
      <c r="G28" s="1229" t="n"/>
      <c r="H28" s="1229" t="n"/>
      <c r="I28" s="1230" t="n"/>
      <c r="J28" s="1230" t="n"/>
      <c r="K28" s="1229">
        <f>C28-D28-F28-I28</f>
        <v/>
      </c>
      <c r="L28" s="769">
        <f>+K28*1%/2</f>
        <v/>
      </c>
    </row>
    <row r="29" ht="15.75" customFormat="1" customHeight="1" s="1">
      <c r="A29" s="351" t="inlineStr">
        <is>
          <t>D/0202</t>
        </is>
      </c>
      <c r="B29" s="360" t="inlineStr">
        <is>
          <t>D/202 Palak Atulkumar Turakhia</t>
        </is>
      </c>
      <c r="C29" s="1228" t="n">
        <v>466000</v>
      </c>
      <c r="D29" s="1229" t="n"/>
      <c r="E29" s="1229" t="n"/>
      <c r="F29" s="1229" t="n"/>
      <c r="G29" s="1229" t="n"/>
      <c r="H29" s="1229" t="n"/>
      <c r="I29" s="1230" t="n"/>
      <c r="J29" s="1230" t="n"/>
      <c r="K29" s="1229">
        <f>C29-D29-F29</f>
        <v/>
      </c>
      <c r="L29" s="769">
        <f>+K29*1%/2</f>
        <v/>
      </c>
    </row>
    <row r="30" ht="18" customFormat="1" customHeight="1" s="1">
      <c r="A30" s="351" t="inlineStr">
        <is>
          <t>D/0302</t>
        </is>
      </c>
      <c r="B30" s="360" t="inlineStr">
        <is>
          <t>D/302 Nirav Ramjibhai Mehta</t>
        </is>
      </c>
      <c r="C30" s="1234" t="n">
        <v>212872</v>
      </c>
      <c r="D30" s="1229" t="n"/>
      <c r="E30" s="1229" t="n"/>
      <c r="F30" s="1229" t="n"/>
      <c r="G30" s="1229" t="n"/>
      <c r="H30" s="1229" t="n"/>
      <c r="I30" s="1230" t="n"/>
      <c r="J30" s="1230" t="n"/>
      <c r="K30" s="1229">
        <f>C30-D30-F30</f>
        <v/>
      </c>
      <c r="L30" s="769">
        <f>+K30*1%/2</f>
        <v/>
      </c>
    </row>
    <row r="31" ht="18" customFormat="1" customHeight="1" s="1">
      <c r="A31" s="351" t="inlineStr">
        <is>
          <t xml:space="preserve">D/0502_x000D_
</t>
        </is>
      </c>
      <c r="B31" s="360" t="inlineStr">
        <is>
          <t>D/502, Varshaben,Nikunj, Rajeshbhai S. Modi</t>
        </is>
      </c>
      <c r="C31" s="1234" t="n">
        <v>247524</v>
      </c>
      <c r="D31" s="1229" t="n"/>
      <c r="E31" s="1229" t="n"/>
      <c r="F31" s="1229" t="n"/>
      <c r="G31" s="1229" t="n"/>
      <c r="H31" s="1229" t="n"/>
      <c r="I31" s="1230" t="n"/>
      <c r="J31" s="1230" t="n"/>
      <c r="K31" s="1229">
        <f>C31-D31-F31</f>
        <v/>
      </c>
      <c r="L31" s="769">
        <f>+K31*1%/2</f>
        <v/>
      </c>
    </row>
    <row r="32" ht="18" customFormat="1" customHeight="1" s="1">
      <c r="A32" s="351" t="inlineStr">
        <is>
          <t xml:space="preserve">D/0601_x000D_
</t>
        </is>
      </c>
      <c r="B32" s="360" t="inlineStr">
        <is>
          <t>D/601 Mayank Ramani</t>
        </is>
      </c>
      <c r="C32" s="1234" t="n">
        <v>435644</v>
      </c>
      <c r="D32" s="1229" t="n"/>
      <c r="E32" s="1229" t="n"/>
      <c r="F32" s="1229" t="n"/>
      <c r="G32" s="1229" t="n"/>
      <c r="H32" s="1229" t="n"/>
      <c r="I32" s="1230" t="n"/>
      <c r="J32" s="1230" t="n"/>
      <c r="K32" s="1229">
        <f>C32-D32-F32</f>
        <v/>
      </c>
      <c r="L32" s="769">
        <f>+K32*1%/2</f>
        <v/>
      </c>
    </row>
    <row r="33" ht="18" customFormat="1" customHeight="1" s="1">
      <c r="A33" s="351" t="inlineStr">
        <is>
          <t xml:space="preserve">D/0701_x000D_
</t>
        </is>
      </c>
      <c r="B33" s="360" t="inlineStr">
        <is>
          <t>D-701, Rameshchanra  Somji  Barot</t>
        </is>
      </c>
      <c r="C33" s="1234" t="n">
        <v>489627</v>
      </c>
      <c r="D33" s="1229" t="n"/>
      <c r="E33" s="1229" t="n"/>
      <c r="F33" s="1229" t="n"/>
      <c r="G33" s="1229" t="n"/>
      <c r="H33" s="1229" t="n"/>
      <c r="I33" s="1230" t="n"/>
      <c r="J33" s="1230" t="n"/>
      <c r="K33" s="1229">
        <f>C33-D33-F33</f>
        <v/>
      </c>
      <c r="L33" s="769">
        <f>+K33*1%/2</f>
        <v/>
      </c>
    </row>
    <row r="34" ht="18" customFormat="1" customHeight="1" s="1">
      <c r="A34" s="351" t="inlineStr">
        <is>
          <t xml:space="preserve">D/0704_x000D_
</t>
        </is>
      </c>
      <c r="B34" s="360" t="inlineStr">
        <is>
          <t>D/704 Janya Meghrajani, Anshu Meghrajani</t>
        </is>
      </c>
      <c r="C34" s="1234" t="n">
        <v>227722</v>
      </c>
      <c r="D34" s="1229" t="n"/>
      <c r="E34" s="1229" t="n"/>
      <c r="F34" s="1229" t="n"/>
      <c r="G34" s="1229" t="n"/>
      <c r="H34" s="1229" t="n"/>
      <c r="I34" s="1230" t="n"/>
      <c r="J34" s="1230" t="n"/>
      <c r="K34" s="1229">
        <f>C34-D34-F34</f>
        <v/>
      </c>
      <c r="L34" s="769">
        <f>+K34*1%/2</f>
        <v/>
      </c>
    </row>
    <row r="35" ht="18" customFormat="1" customHeight="1" s="1">
      <c r="A35" s="351" t="inlineStr">
        <is>
          <t xml:space="preserve">D/0803_x000D_
</t>
        </is>
      </c>
      <c r="B35" s="360" t="inlineStr">
        <is>
          <t>D-803, Aradhana D. &amp; Dhaval Pandit</t>
        </is>
      </c>
      <c r="C35" s="1234" t="n">
        <v>247525</v>
      </c>
      <c r="D35" s="1229" t="n"/>
      <c r="E35" s="1229" t="n"/>
      <c r="F35" s="1229" t="n"/>
      <c r="G35" s="1229" t="n"/>
      <c r="H35" s="1229" t="n"/>
      <c r="I35" s="1230" t="n"/>
      <c r="J35" s="1230" t="n"/>
      <c r="K35" s="1229">
        <f>C35-D35-F35</f>
        <v/>
      </c>
      <c r="L35" s="769">
        <f>+K35*1%/2</f>
        <v/>
      </c>
    </row>
    <row r="36" ht="18" customFormat="1" customHeight="1" s="1">
      <c r="A36" s="351" t="inlineStr">
        <is>
          <t>D/0804</t>
        </is>
      </c>
      <c r="B36" s="360" t="inlineStr">
        <is>
          <t>D-804, Krunal Shah</t>
        </is>
      </c>
      <c r="C36" s="1234" t="n">
        <v>401683</v>
      </c>
      <c r="D36" s="1229" t="n"/>
      <c r="E36" s="1229" t="n"/>
      <c r="F36" s="1229" t="n"/>
      <c r="G36" s="1229" t="n"/>
      <c r="H36" s="1229" t="n"/>
      <c r="I36" s="1230" t="n"/>
      <c r="J36" s="1230" t="n"/>
      <c r="K36" s="1229">
        <f>C36-D36-F36</f>
        <v/>
      </c>
      <c r="L36" s="769">
        <f>+K36*1%/2</f>
        <v/>
      </c>
    </row>
    <row r="37" ht="18" customFormat="1" customHeight="1" s="1">
      <c r="A37" s="351" t="inlineStr">
        <is>
          <t xml:space="preserve">D/0901_x000D_
</t>
        </is>
      </c>
      <c r="B37" s="360" t="inlineStr">
        <is>
          <t>D-901,Anandkumar Prakashbhai Vaishnani</t>
        </is>
      </c>
      <c r="C37" s="1234" t="n">
        <v>202970</v>
      </c>
      <c r="D37" s="1229" t="n"/>
      <c r="E37" s="1229">
        <f>+D37</f>
        <v/>
      </c>
      <c r="F37" s="1229" t="n"/>
      <c r="G37" s="1229">
        <f>F37</f>
        <v/>
      </c>
      <c r="H37" s="1229" t="n"/>
      <c r="I37" s="1230" t="n"/>
      <c r="J37" s="1230" t="n"/>
      <c r="K37" s="1229">
        <f>C37-D37-F37</f>
        <v/>
      </c>
      <c r="L37" s="769">
        <f>+K37*1%/2</f>
        <v/>
      </c>
    </row>
    <row r="38" ht="18" customFormat="1" customHeight="1" s="1">
      <c r="A38" s="351" t="inlineStr">
        <is>
          <t xml:space="preserve">D/0903_x000D_
</t>
        </is>
      </c>
      <c r="B38" s="360" t="inlineStr">
        <is>
          <t>D-903, Ravi Virani</t>
        </is>
      </c>
      <c r="C38" s="1234" t="n">
        <v>1023763</v>
      </c>
      <c r="D38" s="1229" t="n"/>
      <c r="E38" s="1229" t="n"/>
      <c r="F38" s="1229" t="n"/>
      <c r="G38" s="1229">
        <f>F38</f>
        <v/>
      </c>
      <c r="H38" s="1229" t="n"/>
      <c r="I38" s="1230" t="n"/>
      <c r="J38" s="1230" t="n"/>
      <c r="K38" s="1229">
        <f>C38-D38-F38</f>
        <v/>
      </c>
      <c r="L38" s="769">
        <f>+K38*1%/2</f>
        <v/>
      </c>
    </row>
    <row r="39" ht="18" customFormat="1" customHeight="1" s="1">
      <c r="A39" s="351" t="inlineStr">
        <is>
          <t xml:space="preserve">D/1002_x000D_
</t>
        </is>
      </c>
      <c r="B39" s="360" t="inlineStr">
        <is>
          <t>D-1002, Mrugesh Pankajkumar Sheth</t>
        </is>
      </c>
      <c r="C39" s="1234" t="n">
        <v>410892</v>
      </c>
      <c r="D39" s="1229" t="n"/>
      <c r="E39" s="1229" t="n"/>
      <c r="F39" s="1229" t="n"/>
      <c r="G39" s="1229">
        <f>F39</f>
        <v/>
      </c>
      <c r="H39" s="1229" t="n"/>
      <c r="I39" s="1230" t="n"/>
      <c r="J39" s="1230" t="n"/>
      <c r="K39" s="1229">
        <f>C39-D39-F39</f>
        <v/>
      </c>
      <c r="L39" s="769">
        <f>+K39*1%/2</f>
        <v/>
      </c>
    </row>
    <row r="40" ht="18" customFormat="1" customHeight="1" s="1">
      <c r="A40" s="351" t="inlineStr">
        <is>
          <t>D/1003</t>
        </is>
      </c>
      <c r="B40" s="360" t="inlineStr">
        <is>
          <t>D-1003, Suresh C Jagani &amp; Sonalben S. Jagnani</t>
        </is>
      </c>
      <c r="C40" s="1234" t="n">
        <v>99010</v>
      </c>
      <c r="D40" s="1229" t="n"/>
      <c r="E40" s="1229" t="n"/>
      <c r="F40" s="1229" t="n"/>
      <c r="G40" s="1229" t="n"/>
      <c r="H40" s="1229" t="n"/>
      <c r="I40" s="1230" t="n"/>
      <c r="J40" s="1230" t="n"/>
      <c r="K40" s="1229">
        <f>C40-D40-F40-I40</f>
        <v/>
      </c>
      <c r="L40" s="769">
        <f>+K40*1%/2</f>
        <v/>
      </c>
    </row>
    <row r="41" ht="18" customFormat="1" customHeight="1" s="1">
      <c r="A41" s="351" t="inlineStr">
        <is>
          <t>D/1102</t>
        </is>
      </c>
      <c r="B41" s="360" t="inlineStr">
        <is>
          <t>D-1102, Urmi Shail Shah</t>
        </is>
      </c>
      <c r="C41" s="1234" t="n">
        <v>128712</v>
      </c>
      <c r="D41" s="1229" t="n"/>
      <c r="E41" s="1229" t="n"/>
      <c r="F41" s="1229" t="n"/>
      <c r="G41" s="1229" t="n"/>
      <c r="H41" s="1229" t="n"/>
      <c r="I41" s="1230" t="n"/>
      <c r="J41" s="1230" t="n"/>
      <c r="K41" s="1229">
        <f>C41-D41-F41</f>
        <v/>
      </c>
      <c r="L41" s="769">
        <f>+K41*1%/2</f>
        <v/>
      </c>
    </row>
    <row r="42" ht="18" customFormat="1" customHeight="1" s="1">
      <c r="A42" s="351" t="inlineStr">
        <is>
          <t>D/1103</t>
        </is>
      </c>
      <c r="B42" s="360" t="inlineStr">
        <is>
          <t>D-1103, Smitkumar R. Vachhani</t>
        </is>
      </c>
      <c r="C42" s="1234" t="n">
        <v>223267</v>
      </c>
      <c r="D42" s="1229" t="n"/>
      <c r="E42" s="1229" t="n"/>
      <c r="F42" s="1229" t="n"/>
      <c r="G42" s="1229" t="n"/>
      <c r="H42" s="1229" t="n"/>
      <c r="I42" s="1230" t="n"/>
      <c r="J42" s="1230" t="n"/>
      <c r="K42" s="1229">
        <f>C42-D42-F42</f>
        <v/>
      </c>
      <c r="L42" s="769">
        <f>+K42*1%/2</f>
        <v/>
      </c>
    </row>
    <row r="43" ht="18" customFormat="1" customHeight="1" s="1">
      <c r="A43" s="351" t="inlineStr">
        <is>
          <t>D/1202</t>
        </is>
      </c>
      <c r="B43" s="360" t="inlineStr">
        <is>
          <t>D-1202, Kiritbhai Muljibhai Bhut</t>
        </is>
      </c>
      <c r="C43" s="1234" t="n">
        <v>235644</v>
      </c>
      <c r="D43" s="1229" t="n"/>
      <c r="E43" s="1229" t="n"/>
      <c r="F43" s="1229" t="n"/>
      <c r="G43" s="1229">
        <f>F43</f>
        <v/>
      </c>
      <c r="H43" s="1229" t="n"/>
      <c r="I43" s="1230" t="n"/>
      <c r="J43" s="1230" t="n"/>
      <c r="K43" s="1229">
        <f>C43-D43-F43</f>
        <v/>
      </c>
      <c r="L43" s="769">
        <f>+K43*1%/2</f>
        <v/>
      </c>
    </row>
    <row r="44" ht="18" customFormat="1" customHeight="1" s="1">
      <c r="A44" s="351" t="inlineStr">
        <is>
          <t xml:space="preserve">D/1303_x000D_
</t>
        </is>
      </c>
      <c r="B44" s="360" t="inlineStr">
        <is>
          <t>D/1303, Hiteshkumar S. Shah &amp; Avaniben H.Shah</t>
        </is>
      </c>
      <c r="C44" s="1234" t="n">
        <v>269306</v>
      </c>
      <c r="D44" s="1229" t="n"/>
      <c r="E44" s="1229" t="n"/>
      <c r="F44" s="1229" t="n"/>
      <c r="G44" s="1229" t="n"/>
      <c r="H44" s="1229" t="n"/>
      <c r="I44" s="1230" t="n"/>
      <c r="J44" s="1230" t="n"/>
      <c r="K44" s="1229">
        <f>C44-D44-F44</f>
        <v/>
      </c>
      <c r="L44" s="769">
        <f>+K44*1%/2</f>
        <v/>
      </c>
    </row>
    <row r="45" ht="18" customFormat="1" customHeight="1" s="1">
      <c r="A45" s="351" t="inlineStr">
        <is>
          <t>D/1403</t>
        </is>
      </c>
      <c r="B45" s="360" t="inlineStr">
        <is>
          <t>D/1403, Dharti Satishbhai  Bhinde</t>
        </is>
      </c>
      <c r="C45" s="1234" t="n">
        <v>272278</v>
      </c>
      <c r="D45" s="1229" t="n"/>
      <c r="E45" s="1229">
        <f>+D45</f>
        <v/>
      </c>
      <c r="F45" s="1229" t="n"/>
      <c r="G45" s="1229" t="n"/>
      <c r="H45" s="1229" t="n"/>
      <c r="I45" s="1230" t="n"/>
      <c r="J45" s="1230" t="n"/>
      <c r="K45" s="1229">
        <f>C45-D45-F45</f>
        <v/>
      </c>
      <c r="L45" s="769">
        <f>+K45*1%/2</f>
        <v/>
      </c>
    </row>
    <row r="46" ht="18" customFormat="1" customHeight="1" s="1">
      <c r="A46" s="351" t="inlineStr">
        <is>
          <t>D/1404</t>
        </is>
      </c>
      <c r="B46" s="360" t="inlineStr">
        <is>
          <t>D-1404, Dharini U.Kadia &amp; Rushabh Shah</t>
        </is>
      </c>
      <c r="C46" s="1234" t="n">
        <v>297030</v>
      </c>
      <c r="D46" s="1229" t="n"/>
      <c r="E46" s="1229">
        <f>+D46</f>
        <v/>
      </c>
      <c r="F46" s="1229" t="n"/>
      <c r="G46" s="1229">
        <f>F46</f>
        <v/>
      </c>
      <c r="H46" s="1229" t="n"/>
      <c r="I46" s="1230" t="n"/>
      <c r="J46" s="1230" t="n"/>
      <c r="K46" s="1229">
        <f>C46-D46-F46</f>
        <v/>
      </c>
      <c r="L46" s="769">
        <f>+K46*1%/2</f>
        <v/>
      </c>
    </row>
    <row r="47" ht="15.75" customFormat="1" customHeight="1" s="1">
      <c r="A47" s="351" t="inlineStr">
        <is>
          <t xml:space="preserve">E/0302_x000D_
</t>
        </is>
      </c>
      <c r="B47" s="360" t="inlineStr">
        <is>
          <t>E-302, Pranav Chauhan / Hiren Chauhan</t>
        </is>
      </c>
      <c r="C47" s="1228" t="n">
        <v>396040</v>
      </c>
      <c r="D47" s="1229" t="n"/>
      <c r="E47" s="1229" t="n"/>
      <c r="F47" s="1229" t="n"/>
      <c r="G47" s="1229">
        <f>F47</f>
        <v/>
      </c>
      <c r="H47" s="1229" t="n"/>
      <c r="I47" s="1230" t="n"/>
      <c r="J47" s="1230" t="n"/>
      <c r="K47" s="1229">
        <f>C47-D47-F47</f>
        <v/>
      </c>
      <c r="L47" s="769">
        <f>+K47*1%/2</f>
        <v/>
      </c>
    </row>
    <row r="48" ht="15.75" customFormat="1" customHeight="1" s="1">
      <c r="A48" s="351" t="inlineStr">
        <is>
          <t>E/1001</t>
        </is>
      </c>
      <c r="B48" s="360" t="inlineStr">
        <is>
          <t>E-1001,Chitukumar Ashvinbhai Bhanderi</t>
        </is>
      </c>
      <c r="C48" s="1228" t="n">
        <v>831684</v>
      </c>
      <c r="D48" s="1229" t="n"/>
      <c r="E48" s="1229">
        <f>+D48</f>
        <v/>
      </c>
      <c r="F48" s="1229" t="n"/>
      <c r="G48" s="1229" t="n"/>
      <c r="H48" s="1229" t="n"/>
      <c r="I48" s="1230" t="n"/>
      <c r="J48" s="1230" t="n"/>
      <c r="K48" s="1229">
        <f>C48-D48-F48</f>
        <v/>
      </c>
      <c r="L48" s="769">
        <f>+K48*1%/2</f>
        <v/>
      </c>
    </row>
    <row r="49" ht="15.75" customFormat="1" customHeight="1" s="1">
      <c r="A49" s="351" t="inlineStr">
        <is>
          <t xml:space="preserve">E/1002_x000D_
</t>
        </is>
      </c>
      <c r="B49" s="360" t="inlineStr">
        <is>
          <t>E--1002, Palak Prafulbhai Parikh</t>
        </is>
      </c>
      <c r="C49" s="1228" t="n">
        <v>237624</v>
      </c>
      <c r="D49" s="1229" t="n"/>
      <c r="E49" s="1229" t="n"/>
      <c r="F49" s="1229" t="n"/>
      <c r="G49" s="1229" t="n"/>
      <c r="H49" s="1229" t="n"/>
      <c r="I49" s="1230" t="n"/>
      <c r="J49" s="1230" t="n"/>
      <c r="K49" s="1229">
        <f>C49-D49-F49</f>
        <v/>
      </c>
      <c r="L49" s="769">
        <f>+K49*1%/2</f>
        <v/>
      </c>
    </row>
    <row r="50" ht="15.75" customFormat="1" customHeight="1" s="1">
      <c r="A50" s="351" t="inlineStr">
        <is>
          <t>E/1101</t>
        </is>
      </c>
      <c r="B50" s="360" t="inlineStr">
        <is>
          <t>E-1101,Amit A &amp; Tarulata A.Thakkar</t>
        </is>
      </c>
      <c r="C50" s="1228" t="n">
        <v>279356</v>
      </c>
      <c r="D50" s="1229" t="n"/>
      <c r="E50" s="1229" t="n"/>
      <c r="F50" s="1229" t="n"/>
      <c r="G50" s="1229" t="n"/>
      <c r="H50" s="1229" t="n"/>
      <c r="I50" s="1230" t="n"/>
      <c r="J50" s="1230" t="n"/>
      <c r="K50" s="1229">
        <f>C50-D50-F50</f>
        <v/>
      </c>
      <c r="L50" s="769">
        <f>+K50*1%/2</f>
        <v/>
      </c>
    </row>
    <row r="51" ht="15.75" customFormat="1" customHeight="1" s="1">
      <c r="A51" s="351" t="inlineStr">
        <is>
          <t xml:space="preserve">E/1102_x000D_
</t>
        </is>
      </c>
      <c r="B51" s="360" t="inlineStr">
        <is>
          <t>E/1102, Bhavesh D.Bavasia (Patel)</t>
        </is>
      </c>
      <c r="C51" s="1228" t="n">
        <v>439604</v>
      </c>
      <c r="D51" s="1229" t="n"/>
      <c r="E51" s="1229" t="n"/>
      <c r="F51" s="1229" t="n"/>
      <c r="G51" s="1229" t="n"/>
      <c r="H51" s="1229" t="n"/>
      <c r="I51" s="1230" t="n"/>
      <c r="J51" s="1230" t="n"/>
      <c r="K51" s="1229">
        <f>C51-D51-F51</f>
        <v/>
      </c>
      <c r="L51" s="769">
        <f>+K51*1%/2</f>
        <v/>
      </c>
    </row>
    <row r="52" ht="15.75" customFormat="1" customHeight="1" s="1">
      <c r="A52" s="351" t="inlineStr">
        <is>
          <t>E/1301</t>
        </is>
      </c>
      <c r="B52" s="360" t="inlineStr">
        <is>
          <t>E-1301, Kupali Harsh Patel</t>
        </is>
      </c>
      <c r="C52" s="1228" t="n">
        <v>1792080</v>
      </c>
      <c r="D52" s="1229" t="n"/>
      <c r="E52" s="1229" t="n"/>
      <c r="F52" s="1229" t="n"/>
      <c r="G52" s="1229" t="n"/>
      <c r="H52" s="1229" t="n"/>
      <c r="I52" s="1230" t="n"/>
      <c r="J52" s="1230" t="n"/>
      <c r="K52" s="1229">
        <f>C52-D52-F52</f>
        <v/>
      </c>
      <c r="L52" s="769">
        <f>+K52*1%/2</f>
        <v/>
      </c>
    </row>
    <row r="53" ht="15.75" customFormat="1" customHeight="1" s="1">
      <c r="A53" s="351" t="inlineStr">
        <is>
          <t>E/-901</t>
        </is>
      </c>
      <c r="B53" s="360" t="inlineStr">
        <is>
          <t>E-901 Yuvraj Dineshbhai Parmar</t>
        </is>
      </c>
      <c r="C53" s="1228" t="n">
        <v>1252476</v>
      </c>
      <c r="D53" s="1229" t="n"/>
      <c r="E53" s="1229" t="n"/>
      <c r="F53" s="1229" t="n"/>
      <c r="G53" s="1229" t="n"/>
      <c r="H53" s="1229" t="n"/>
      <c r="I53" s="1230" t="n"/>
      <c r="J53" s="1230" t="n"/>
      <c r="K53" s="1229">
        <f>C53-D53-F53</f>
        <v/>
      </c>
      <c r="L53" s="769">
        <f>+K53*1%/2</f>
        <v/>
      </c>
    </row>
    <row r="54" ht="15.75" customFormat="1" customHeight="1" s="1">
      <c r="A54" s="351" t="inlineStr">
        <is>
          <t xml:space="preserve">F/0301_x000D_
</t>
        </is>
      </c>
      <c r="B54" s="360" t="inlineStr">
        <is>
          <t>F/301 Ajay Kantilal Patel</t>
        </is>
      </c>
      <c r="C54" s="1228" t="n">
        <v>339998</v>
      </c>
      <c r="D54" s="1229" t="n"/>
      <c r="E54" s="1229" t="n"/>
      <c r="F54" s="1229" t="n"/>
      <c r="G54" s="1229" t="n"/>
      <c r="H54" s="1229" t="n"/>
      <c r="I54" s="1230" t="n"/>
      <c r="J54" s="1230" t="n"/>
      <c r="K54" s="1229">
        <f>C54-D54-F54</f>
        <v/>
      </c>
      <c r="L54" s="769">
        <f>+K54*1%/2</f>
        <v/>
      </c>
    </row>
    <row r="55" ht="15.75" customFormat="1" customHeight="1" s="1">
      <c r="A55" s="351" t="inlineStr">
        <is>
          <t>F/0404</t>
        </is>
      </c>
      <c r="B55" s="360" t="inlineStr">
        <is>
          <t>F-404,Anand Sonagara</t>
        </is>
      </c>
      <c r="C55" s="1228" t="n">
        <v>297030</v>
      </c>
      <c r="D55" s="1229" t="n"/>
      <c r="E55" s="1229" t="n"/>
      <c r="F55" s="1229" t="n"/>
      <c r="G55" s="1229" t="n"/>
      <c r="H55" s="1229" t="n"/>
      <c r="I55" s="1230" t="n"/>
      <c r="J55" s="1230" t="n"/>
      <c r="K55" s="1229">
        <f>C55-D55-F55</f>
        <v/>
      </c>
      <c r="L55" s="769">
        <f>+K55*1%/2</f>
        <v/>
      </c>
    </row>
    <row r="56" ht="15.75" customFormat="1" customHeight="1" s="1">
      <c r="A56" s="351" t="inlineStr">
        <is>
          <t xml:space="preserve">F/0501_x000D_
</t>
        </is>
      </c>
      <c r="B56" s="360" t="inlineStr">
        <is>
          <t>F-501, Hemalkumar Vaidya</t>
        </is>
      </c>
      <c r="C56" s="1228" t="n">
        <v>246138</v>
      </c>
      <c r="D56" s="1229" t="n"/>
      <c r="E56" s="1229">
        <f>D56</f>
        <v/>
      </c>
      <c r="F56" s="1229" t="n"/>
      <c r="G56" s="1229">
        <f>F56</f>
        <v/>
      </c>
      <c r="H56" s="1229" t="n"/>
      <c r="I56" s="1230" t="n"/>
      <c r="J56" s="1230" t="n"/>
      <c r="K56" s="1229">
        <f>C56-D56-F56</f>
        <v/>
      </c>
      <c r="L56" s="769">
        <f>+K56*1%/2</f>
        <v/>
      </c>
    </row>
    <row r="57" ht="18" customFormat="1" customHeight="1" s="1">
      <c r="A57" s="351" t="inlineStr">
        <is>
          <t xml:space="preserve">F/1001_x000D_
</t>
        </is>
      </c>
      <c r="B57" s="360" t="inlineStr">
        <is>
          <t>F/1001, Ramabhai Pujabhai  &amp; Shantaben P.Patel</t>
        </is>
      </c>
      <c r="C57" s="1232" t="n">
        <v>712872</v>
      </c>
      <c r="D57" s="1230" t="n"/>
      <c r="E57" s="1229" t="n"/>
      <c r="F57" s="1229" t="n"/>
      <c r="G57" s="1229" t="n"/>
      <c r="H57" s="1229" t="n"/>
      <c r="I57" s="1230" t="n">
        <v>356436</v>
      </c>
      <c r="J57" s="1230" t="n"/>
      <c r="K57" s="1229">
        <f>C57-D57-F57</f>
        <v/>
      </c>
      <c r="L57" s="769">
        <f>+K57*1%/2</f>
        <v/>
      </c>
    </row>
    <row r="58" ht="18" customFormat="1" customHeight="1" s="1">
      <c r="A58" s="351" t="inlineStr">
        <is>
          <t xml:space="preserve">F/1101_x000D_
</t>
        </is>
      </c>
      <c r="B58" s="360" t="inlineStr">
        <is>
          <t>F/1101 Aashish M. Borana</t>
        </is>
      </c>
      <c r="C58" s="1232" t="n">
        <v>287128</v>
      </c>
      <c r="D58" s="1230" t="n"/>
      <c r="E58" s="1229" t="n"/>
      <c r="F58" s="1229" t="n"/>
      <c r="G58" s="1229" t="n"/>
      <c r="H58" s="1229" t="n"/>
      <c r="I58" s="1230" t="n"/>
      <c r="J58" s="1230" t="n"/>
      <c r="K58" s="1229">
        <f>C58-D58-F58</f>
        <v/>
      </c>
      <c r="L58" s="769">
        <f>+K58*1%/2</f>
        <v/>
      </c>
    </row>
    <row r="59" ht="18" customFormat="1" customHeight="1" s="1">
      <c r="A59" s="351" t="inlineStr">
        <is>
          <t>E/401</t>
        </is>
      </c>
      <c r="B59" s="360" t="inlineStr">
        <is>
          <t>E/401 Sagar Hiteshkumar Maniar</t>
        </is>
      </c>
      <c r="C59" s="1232" t="n">
        <v>435644</v>
      </c>
      <c r="D59" s="1230" t="n"/>
      <c r="E59" s="1229" t="n"/>
      <c r="F59" s="1229" t="n"/>
      <c r="G59" s="1229" t="n"/>
      <c r="H59" s="1229" t="n"/>
      <c r="I59" s="1230" t="n"/>
      <c r="J59" s="1230" t="n"/>
      <c r="K59" s="1229">
        <f>C59-D59-F59</f>
        <v/>
      </c>
      <c r="L59" s="769">
        <f>+K59*1%/2</f>
        <v/>
      </c>
    </row>
    <row r="60" ht="18" customFormat="1" customHeight="1" s="1">
      <c r="A60" s="351" t="n"/>
      <c r="B60" s="360" t="n"/>
      <c r="C60" s="1232" t="n"/>
      <c r="D60" s="1230" t="n"/>
      <c r="E60" s="1229" t="n"/>
      <c r="F60" s="1229" t="n"/>
      <c r="G60" s="1229" t="n"/>
      <c r="H60" s="1229" t="n"/>
      <c r="I60" s="1230" t="n"/>
      <c r="J60" s="1230" t="n"/>
      <c r="K60" s="1229">
        <f>C60-D60-F60</f>
        <v/>
      </c>
      <c r="L60" s="769">
        <f>+K60*1%/2</f>
        <v/>
      </c>
    </row>
    <row r="61" ht="18" customFormat="1" customHeight="1" s="1">
      <c r="A61" s="351" t="n"/>
      <c r="B61" s="360" t="n"/>
      <c r="C61" s="1232" t="n"/>
      <c r="D61" s="1230" t="n"/>
      <c r="E61" s="1229" t="n"/>
      <c r="F61" s="1229" t="n"/>
      <c r="G61" s="1229" t="n"/>
      <c r="H61" s="1229" t="n"/>
      <c r="I61" s="1230" t="n"/>
      <c r="J61" s="1230" t="n"/>
      <c r="K61" s="1229">
        <f>C61-D61-F61</f>
        <v/>
      </c>
      <c r="L61" s="769">
        <f>+K61*1%/2</f>
        <v/>
      </c>
    </row>
    <row r="62" ht="18" customFormat="1" customHeight="1" s="1">
      <c r="A62" s="351" t="n"/>
      <c r="B62" s="360" t="n"/>
      <c r="C62" s="1232" t="n"/>
      <c r="D62" s="1230" t="n"/>
      <c r="E62" s="1229" t="n"/>
      <c r="F62" s="1229" t="n"/>
      <c r="G62" s="1229" t="n"/>
      <c r="H62" s="1229" t="n"/>
      <c r="I62" s="1230" t="n"/>
      <c r="J62" s="1230" t="n"/>
      <c r="K62" s="1229">
        <f>C62-D62-F62</f>
        <v/>
      </c>
      <c r="L62" s="769">
        <f>+K62*1%/2</f>
        <v/>
      </c>
    </row>
    <row r="63" ht="18" customFormat="1" customHeight="1" s="1">
      <c r="A63" s="351" t="n"/>
      <c r="B63" s="360" t="n"/>
      <c r="C63" s="1232" t="n"/>
      <c r="D63" s="1230" t="n"/>
      <c r="E63" s="1229" t="n"/>
      <c r="F63" s="1229" t="n"/>
      <c r="G63" s="1229" t="n"/>
      <c r="H63" s="1229" t="n"/>
      <c r="I63" s="1230" t="n"/>
      <c r="J63" s="1230" t="n"/>
      <c r="K63" s="1229" t="n"/>
      <c r="L63" s="769" t="n"/>
    </row>
    <row r="64" ht="18" customFormat="1" customHeight="1" s="1">
      <c r="A64" s="351" t="n"/>
      <c r="B64" s="351" t="n"/>
      <c r="C64" s="1232" t="n"/>
      <c r="D64" s="1230" t="n"/>
      <c r="E64" s="1229" t="n"/>
      <c r="F64" s="1229" t="n"/>
      <c r="G64" s="1229" t="n"/>
      <c r="H64" s="1229" t="n"/>
      <c r="I64" s="1230" t="n"/>
      <c r="J64" s="1230" t="n"/>
      <c r="K64" s="1229" t="n"/>
      <c r="L64" s="769" t="n"/>
    </row>
    <row r="65" ht="18" customFormat="1" customHeight="1" s="1">
      <c r="A65" s="351" t="n"/>
      <c r="B65" s="351" t="n"/>
      <c r="C65" s="1232" t="n"/>
      <c r="D65" s="1230" t="n"/>
      <c r="E65" s="1229" t="n"/>
      <c r="F65" s="1229" t="n"/>
      <c r="G65" s="1229" t="n"/>
      <c r="H65" s="1229" t="n"/>
      <c r="I65" s="1230" t="n"/>
      <c r="J65" s="1230" t="n"/>
      <c r="K65" s="1229" t="n"/>
      <c r="L65" s="769" t="n"/>
    </row>
    <row r="66" ht="18" customFormat="1" customHeight="1" s="1">
      <c r="A66" s="351" t="n"/>
      <c r="B66" s="351" t="n"/>
      <c r="C66" s="1232" t="n"/>
      <c r="D66" s="1230" t="n"/>
      <c r="E66" s="1229" t="n"/>
      <c r="F66" s="1229" t="n"/>
      <c r="G66" s="1229" t="n"/>
      <c r="H66" s="1229" t="n"/>
      <c r="I66" s="1230" t="n"/>
      <c r="J66" s="1230" t="n"/>
      <c r="K66" s="1229" t="n"/>
      <c r="L66" s="769" t="n"/>
    </row>
    <row r="67" ht="18" customFormat="1" customHeight="1" s="1">
      <c r="A67" s="351" t="n"/>
      <c r="B67" s="351" t="n"/>
      <c r="C67" s="1232" t="n"/>
      <c r="D67" s="1230" t="n"/>
      <c r="E67" s="1229" t="n"/>
      <c r="F67" s="1229" t="n"/>
      <c r="G67" s="1229" t="n"/>
      <c r="H67" s="1229" t="n"/>
      <c r="I67" s="1230" t="n"/>
      <c r="J67" s="1230" t="n"/>
      <c r="K67" s="1229" t="n"/>
      <c r="L67" s="769" t="n"/>
    </row>
    <row r="68" ht="18" customFormat="1" customHeight="1" s="1">
      <c r="A68" s="351" t="n"/>
      <c r="B68" s="351" t="n"/>
      <c r="C68" s="1232" t="n"/>
      <c r="D68" s="1230" t="n"/>
      <c r="E68" s="1229" t="n"/>
      <c r="F68" s="1229" t="n"/>
      <c r="G68" s="1229" t="n"/>
      <c r="H68" s="1229" t="n"/>
      <c r="I68" s="1230" t="n"/>
      <c r="J68" s="1230" t="n"/>
      <c r="K68" s="1229" t="n"/>
      <c r="L68" s="769" t="n"/>
    </row>
    <row r="69" ht="18" customFormat="1" customHeight="1" s="1">
      <c r="A69" s="351" t="n"/>
      <c r="B69" s="351" t="n"/>
      <c r="C69" s="1232" t="n"/>
      <c r="D69" s="1230" t="n"/>
      <c r="E69" s="1229" t="n"/>
      <c r="F69" s="1229" t="n"/>
      <c r="G69" s="1229" t="n"/>
      <c r="H69" s="1229" t="n"/>
      <c r="I69" s="1230" t="n"/>
      <c r="J69" s="1230" t="n"/>
      <c r="K69" s="1229" t="n"/>
      <c r="L69" s="769" t="n"/>
    </row>
    <row r="70" ht="18" customFormat="1" customHeight="1" s="1">
      <c r="A70" s="351" t="n"/>
      <c r="B70" s="351" t="n"/>
      <c r="C70" s="1232" t="n"/>
      <c r="D70" s="1230" t="n"/>
      <c r="E70" s="1229" t="n"/>
      <c r="F70" s="1229" t="n"/>
      <c r="G70" s="1229" t="n"/>
      <c r="H70" s="1229" t="n"/>
      <c r="I70" s="1230" t="n"/>
      <c r="J70" s="1230" t="n"/>
      <c r="K70" s="1229" t="n"/>
      <c r="L70" s="769" t="n"/>
    </row>
    <row r="71" ht="18" customFormat="1" customHeight="1" s="1">
      <c r="A71" s="351" t="n"/>
      <c r="B71" s="351" t="n"/>
      <c r="C71" s="1232" t="n"/>
      <c r="D71" s="1230" t="n"/>
      <c r="E71" s="1229" t="n"/>
      <c r="F71" s="1229" t="n"/>
      <c r="G71" s="1229" t="n"/>
      <c r="H71" s="1229" t="n"/>
      <c r="I71" s="1230" t="n"/>
      <c r="J71" s="1230" t="n"/>
      <c r="K71" s="1229" t="n"/>
      <c r="L71" s="769" t="n"/>
    </row>
    <row r="72" ht="18" customFormat="1" customHeight="1" s="1">
      <c r="A72" s="1197" t="n"/>
      <c r="B72" s="1235" t="n"/>
      <c r="C72" s="1232" t="n"/>
      <c r="D72" s="1230" t="n"/>
      <c r="E72" s="1229">
        <f>D72</f>
        <v/>
      </c>
      <c r="F72" s="1229" t="n"/>
      <c r="G72" s="1229">
        <f>F72</f>
        <v/>
      </c>
      <c r="H72" s="1229" t="n"/>
      <c r="I72" s="1230" t="n"/>
      <c r="J72" s="1230" t="n"/>
      <c r="K72" s="1229">
        <f>C72-D72-F72</f>
        <v/>
      </c>
      <c r="L72" s="769">
        <f>+K72*1%/2</f>
        <v/>
      </c>
    </row>
    <row r="73" ht="18.75" customFormat="1" customHeight="1" s="1" thickBot="1">
      <c r="A73" s="1197" t="n"/>
      <c r="B73" s="1235" t="n"/>
      <c r="C73" s="1232" t="n"/>
      <c r="D73" s="1230" t="n"/>
      <c r="E73" s="1229">
        <f>D73</f>
        <v/>
      </c>
      <c r="F73" s="1229" t="n"/>
      <c r="G73" s="1229">
        <f>F73</f>
        <v/>
      </c>
      <c r="H73" s="1236" t="n"/>
      <c r="I73" s="1230" t="n"/>
      <c r="J73" s="1230" t="n"/>
      <c r="K73" s="1229">
        <f>C73-D73-F73</f>
        <v/>
      </c>
      <c r="L73" s="769">
        <f>+K73*1%/2</f>
        <v/>
      </c>
    </row>
    <row r="74" ht="19.5" customHeight="1" thickBot="1">
      <c r="A74" s="904" t="inlineStr">
        <is>
          <t>Total</t>
        </is>
      </c>
      <c r="B74" s="904" t="n"/>
      <c r="C74" s="971">
        <f>SUM(C9:C73)</f>
        <v/>
      </c>
      <c r="D74" s="971">
        <f>SUM(D9:D73)</f>
        <v/>
      </c>
      <c r="E74" s="971">
        <f>SUM(E9:E73)</f>
        <v/>
      </c>
      <c r="F74" s="971">
        <f>SUM(F9:F73)</f>
        <v/>
      </c>
      <c r="G74" s="971">
        <f>SUM(G9:G73)</f>
        <v/>
      </c>
      <c r="H74" s="971">
        <f>SUM(H9:H73)</f>
        <v/>
      </c>
      <c r="I74" s="971">
        <f>SUM(I9:I73)</f>
        <v/>
      </c>
      <c r="J74" s="971">
        <f>SUM(J9:J73)</f>
        <v/>
      </c>
      <c r="K74" s="971">
        <f>SUM(K9:K73)</f>
        <v/>
      </c>
      <c r="L74" s="971">
        <f>SUM(L9:L73)</f>
        <v/>
      </c>
    </row>
    <row r="75">
      <c r="D75" s="985" t="n"/>
    </row>
    <row r="76" ht="21.75" customHeight="1" thickBot="1">
      <c r="A76" s="1099" t="inlineStr">
        <is>
          <t>FLATE MEMBERS COLLECTION @ 5%</t>
        </is>
      </c>
      <c r="B76" s="969" t="n"/>
      <c r="C76" s="969" t="n"/>
      <c r="D76" s="969" t="n"/>
      <c r="E76" s="969" t="n"/>
      <c r="F76" s="969" t="n"/>
      <c r="G76" s="969" t="n"/>
      <c r="H76" s="969" t="n"/>
      <c r="I76" s="977" t="n"/>
    </row>
    <row r="77" ht="15.75" customHeight="1">
      <c r="A77" s="300" t="inlineStr">
        <is>
          <t>Flat No.</t>
        </is>
      </c>
      <c r="B77" s="1237" t="inlineStr">
        <is>
          <t>Name of Owner</t>
        </is>
      </c>
      <c r="C77" s="300" t="inlineStr">
        <is>
          <t>CR SIDE</t>
        </is>
      </c>
      <c r="D77" s="301" t="inlineStr">
        <is>
          <t>Receipt of Registration Fees</t>
        </is>
      </c>
      <c r="E77" s="301" t="inlineStr">
        <is>
          <t>Payment of Reg Fees on Behalf of Client</t>
        </is>
      </c>
      <c r="F77" s="301" t="inlineStr">
        <is>
          <t>Receipt of Stamp Duty/JV (Cr)</t>
        </is>
      </c>
      <c r="G77" s="301" t="inlineStr">
        <is>
          <t>Payment of Stamp Duty/JV (Cr)</t>
        </is>
      </c>
      <c r="H77" s="301" t="inlineStr">
        <is>
          <t>REFUND OF SAME PEROID</t>
        </is>
      </c>
      <c r="I77" s="849" t="n"/>
      <c r="J77" s="301" t="inlineStr">
        <is>
          <t>REFUND WITHOUT GST</t>
        </is>
      </c>
      <c r="K77" s="301" t="inlineStr">
        <is>
          <t>NET RECEIPT</t>
        </is>
      </c>
    </row>
    <row r="78" ht="16.5" customHeight="1" thickBot="1">
      <c r="A78" s="979" t="n"/>
      <c r="B78" s="970" t="n"/>
      <c r="C78" s="979" t="n"/>
      <c r="D78" s="979" t="n"/>
      <c r="E78" s="979" t="n"/>
      <c r="F78" s="979" t="n"/>
      <c r="G78" s="979" t="n"/>
      <c r="H78" s="979" t="n"/>
      <c r="I78" s="850" t="n"/>
      <c r="J78" s="979" t="n"/>
      <c r="K78" s="979" t="n"/>
    </row>
    <row r="79" ht="18.75" customHeight="1">
      <c r="A79" s="351" t="n"/>
      <c r="B79" s="804" t="n"/>
      <c r="C79" s="1228" t="n"/>
      <c r="D79" s="1238" t="n"/>
      <c r="E79" s="1238">
        <f>+D79</f>
        <v/>
      </c>
      <c r="F79" s="1238" t="n"/>
      <c r="G79" s="1238" t="n"/>
      <c r="H79" s="1238" t="n"/>
      <c r="I79" s="1238" t="n"/>
      <c r="J79" s="1238" t="n"/>
      <c r="K79" s="1239">
        <f>C79-D79-F79</f>
        <v/>
      </c>
      <c r="L79" s="230">
        <f>+K79*5%/2</f>
        <v/>
      </c>
    </row>
    <row r="80" ht="16.5" customHeight="1">
      <c r="A80" s="351" t="n"/>
      <c r="B80" s="804" t="n"/>
      <c r="C80" s="1228" t="n"/>
      <c r="D80" s="1229" t="n"/>
      <c r="E80" s="1229">
        <f>D80</f>
        <v/>
      </c>
      <c r="F80" s="1229" t="n"/>
      <c r="G80" s="1229">
        <f>F80</f>
        <v/>
      </c>
      <c r="H80" s="1229" t="n"/>
      <c r="I80" s="1230" t="n"/>
      <c r="J80" s="1230" t="n"/>
      <c r="K80" s="1239">
        <f>C80-D80-F80</f>
        <v/>
      </c>
      <c r="L80" s="230">
        <f>+K80*5%/2</f>
        <v/>
      </c>
    </row>
    <row r="81" ht="18.75" customHeight="1">
      <c r="A81" s="351" t="n"/>
      <c r="B81" s="804" t="n"/>
      <c r="C81" s="1234" t="n"/>
      <c r="D81" s="1238" t="n"/>
      <c r="E81" s="1238">
        <f>+D81</f>
        <v/>
      </c>
      <c r="F81" s="1238" t="n"/>
      <c r="G81" s="1238" t="n"/>
      <c r="H81" s="1238" t="n"/>
      <c r="I81" s="1238" t="n"/>
      <c r="J81" s="1238" t="n"/>
      <c r="K81" s="1239">
        <f>C81-D81-F81</f>
        <v/>
      </c>
      <c r="L81" s="227">
        <f>K81*2.5/100</f>
        <v/>
      </c>
    </row>
    <row r="82" ht="18.75" customHeight="1">
      <c r="A82" s="351" t="n"/>
      <c r="B82" s="804" t="n"/>
      <c r="C82" s="1234" t="n"/>
      <c r="D82" s="1238" t="n"/>
      <c r="E82" s="1238" t="n"/>
      <c r="F82" s="1238" t="n"/>
      <c r="G82" s="1238" t="n"/>
      <c r="H82" s="1238" t="n"/>
      <c r="I82" s="1238" t="n"/>
      <c r="J82" s="1238" t="n"/>
      <c r="K82" s="1239">
        <f>C82-D82-F82</f>
        <v/>
      </c>
      <c r="L82" s="227">
        <f>K82*2.5/100</f>
        <v/>
      </c>
    </row>
    <row r="83" ht="18.75" customHeight="1">
      <c r="A83" s="351" t="n"/>
      <c r="B83" s="804" t="n"/>
      <c r="C83" s="1238" t="n"/>
      <c r="D83" s="1238" t="n"/>
      <c r="E83" s="1238" t="n"/>
      <c r="F83" s="1238" t="n"/>
      <c r="G83" s="1238" t="n"/>
      <c r="H83" s="1229" t="n"/>
      <c r="I83" s="1238" t="n"/>
      <c r="J83" s="1238" t="n"/>
      <c r="K83" s="1239">
        <f>C83-D83-F83</f>
        <v/>
      </c>
      <c r="L83" s="227" t="n"/>
      <c r="N83" s="766" t="n"/>
    </row>
    <row r="84" ht="19.5" customHeight="1" thickBot="1">
      <c r="A84" s="1240" t="n"/>
      <c r="B84" s="1241" t="n"/>
      <c r="C84" s="1238" t="n"/>
      <c r="D84" s="1238" t="n"/>
      <c r="E84" s="1238">
        <f>+D84</f>
        <v/>
      </c>
      <c r="F84" s="1238" t="n"/>
      <c r="G84" s="1238" t="n"/>
      <c r="H84" s="1238" t="n"/>
      <c r="I84" s="1238" t="n"/>
      <c r="J84" s="1238" t="n"/>
      <c r="K84" s="1238">
        <f>C84-D84</f>
        <v/>
      </c>
      <c r="L84" s="227">
        <f>K84*2.5/100</f>
        <v/>
      </c>
    </row>
    <row r="85" ht="19.5" customHeight="1" thickBot="1">
      <c r="A85" s="1200" t="inlineStr">
        <is>
          <t>Total</t>
        </is>
      </c>
      <c r="B85" s="973" t="n"/>
      <c r="C85" s="971">
        <f>SUM(C79:C84)</f>
        <v/>
      </c>
      <c r="D85" s="971">
        <f>SUM(D79:D84)</f>
        <v/>
      </c>
      <c r="E85" s="971">
        <f>SUM(E79:E84)</f>
        <v/>
      </c>
      <c r="F85" s="971">
        <f>SUM(F79:F84)</f>
        <v/>
      </c>
      <c r="G85" s="971">
        <f>SUM(G79:G84)</f>
        <v/>
      </c>
      <c r="H85" s="971">
        <f>SUM(H79:H84)</f>
        <v/>
      </c>
      <c r="I85" s="971" t="n"/>
      <c r="J85" s="971">
        <f>SUM(J79:J84)</f>
        <v/>
      </c>
      <c r="K85" s="971">
        <f>SUM(K79:K84)</f>
        <v/>
      </c>
    </row>
    <row r="86">
      <c r="D86" s="985" t="n"/>
    </row>
    <row r="87">
      <c r="D87" s="985" t="n"/>
    </row>
    <row r="88">
      <c r="D88" s="985" t="n"/>
    </row>
    <row r="89" ht="21.75" customHeight="1" thickBot="1">
      <c r="A89" s="1099" t="inlineStr">
        <is>
          <t>SHOP MEMBERS COLLECTION</t>
        </is>
      </c>
      <c r="B89" s="969" t="n"/>
      <c r="C89" s="969" t="n"/>
      <c r="D89" s="969" t="n"/>
      <c r="E89" s="969" t="n"/>
      <c r="F89" s="969" t="n"/>
      <c r="G89" s="969" t="n"/>
      <c r="H89" s="969" t="n"/>
      <c r="I89" s="977" t="n"/>
    </row>
    <row r="90" ht="15.75" customHeight="1">
      <c r="A90" s="300" t="inlineStr">
        <is>
          <t>shop no.</t>
        </is>
      </c>
      <c r="B90" s="300" t="inlineStr">
        <is>
          <t>Name of Owner</t>
        </is>
      </c>
      <c r="C90" s="300" t="inlineStr">
        <is>
          <t>CR SIDE</t>
        </is>
      </c>
      <c r="D90" s="301" t="inlineStr">
        <is>
          <t>Receipt of Registration Fees</t>
        </is>
      </c>
      <c r="E90" s="301" t="inlineStr">
        <is>
          <t>Payment of Reg Fees on Behalf of Client</t>
        </is>
      </c>
      <c r="F90" s="301" t="inlineStr">
        <is>
          <t>Receipt of Stamp Duty/JV (Cr)</t>
        </is>
      </c>
      <c r="G90" s="301" t="inlineStr">
        <is>
          <t>Payment of Stamp Duty/JV (Cr)</t>
        </is>
      </c>
      <c r="H90" s="301" t="inlineStr">
        <is>
          <t>REFUND OF SAME PEROID</t>
        </is>
      </c>
      <c r="I90" s="849" t="n"/>
      <c r="J90" s="301" t="inlineStr">
        <is>
          <t>REFUND WITHOUT GST</t>
        </is>
      </c>
      <c r="K90" s="301" t="inlineStr">
        <is>
          <t>NET RECEIPT</t>
        </is>
      </c>
    </row>
    <row r="91" ht="16.5" customHeight="1" thickBot="1">
      <c r="A91" s="979" t="n"/>
      <c r="B91" s="979" t="n"/>
      <c r="C91" s="979" t="n"/>
      <c r="D91" s="979" t="n"/>
      <c r="E91" s="979" t="n"/>
      <c r="F91" s="979" t="n"/>
      <c r="G91" s="979" t="n"/>
      <c r="H91" s="979" t="n"/>
      <c r="I91" s="850" t="n"/>
      <c r="J91" s="979" t="n"/>
      <c r="K91" s="979" t="n"/>
    </row>
    <row r="92" ht="18.75" customHeight="1">
      <c r="A92" s="351" t="n"/>
      <c r="B92" s="351" t="n"/>
      <c r="C92" s="1238" t="n"/>
      <c r="D92" s="1229" t="n"/>
      <c r="E92" s="1229" t="n"/>
      <c r="F92" s="1229" t="n"/>
      <c r="G92" s="1229">
        <f>F92</f>
        <v/>
      </c>
      <c r="H92" s="1238" t="n"/>
      <c r="I92" s="1238" t="n"/>
      <c r="J92" s="1238" t="n"/>
      <c r="K92" s="1239">
        <f>C92-D92-F92</f>
        <v/>
      </c>
      <c r="L92" s="227">
        <f>K92*2.5/100</f>
        <v/>
      </c>
    </row>
    <row r="93" ht="18.75" customHeight="1">
      <c r="A93" s="351" t="n"/>
      <c r="B93" s="351" t="n"/>
      <c r="C93" s="1238" t="n"/>
      <c r="D93" s="1229" t="n"/>
      <c r="E93" s="1229">
        <f>D93</f>
        <v/>
      </c>
      <c r="F93" s="1229" t="n"/>
      <c r="G93" s="1229">
        <f>F93</f>
        <v/>
      </c>
      <c r="H93" s="1239" t="n"/>
      <c r="I93" s="1239" t="n"/>
      <c r="J93" s="1239" t="n"/>
      <c r="K93" s="1239">
        <f>C93-D93-F93</f>
        <v/>
      </c>
      <c r="L93" s="227">
        <f>K93*2.5/100</f>
        <v/>
      </c>
      <c r="M93" s="767" t="n"/>
    </row>
    <row r="94" ht="18.75" customHeight="1">
      <c r="A94" s="351" t="n"/>
      <c r="B94" s="351" t="n"/>
      <c r="C94" s="1238" t="n"/>
      <c r="D94" s="1238" t="n"/>
      <c r="E94" s="1238">
        <f>+D94</f>
        <v/>
      </c>
      <c r="F94" s="1238" t="n"/>
      <c r="G94" s="1238" t="n"/>
      <c r="H94" s="1238" t="n"/>
      <c r="I94" s="1238" t="n"/>
      <c r="J94" s="1238" t="n"/>
      <c r="K94" s="1238">
        <f>C94-D94-F94</f>
        <v/>
      </c>
      <c r="L94" s="227">
        <f>K94*2.5/100</f>
        <v/>
      </c>
      <c r="M94" s="73" t="n"/>
    </row>
    <row r="95" ht="18.75" customHeight="1">
      <c r="A95" s="351" t="n"/>
      <c r="B95" s="351" t="n"/>
      <c r="C95" s="1238" t="n"/>
      <c r="D95" s="1238" t="n"/>
      <c r="E95" s="1238">
        <f>+D95</f>
        <v/>
      </c>
      <c r="F95" s="1238" t="n"/>
      <c r="G95" s="1238" t="n"/>
      <c r="H95" s="1238" t="n"/>
      <c r="I95" s="1238" t="n"/>
      <c r="J95" s="1238" t="n"/>
      <c r="K95" s="1238">
        <f>C95-D95-F95</f>
        <v/>
      </c>
      <c r="L95" s="227">
        <f>K95*2.5/100</f>
        <v/>
      </c>
    </row>
    <row r="96" ht="19.5" customHeight="1" thickBot="1">
      <c r="A96" s="1242" t="n"/>
      <c r="B96" s="1242" t="n"/>
      <c r="C96" s="1238" t="n"/>
      <c r="D96" s="1238" t="n"/>
      <c r="E96" s="1238">
        <f>+D96</f>
        <v/>
      </c>
      <c r="F96" s="1238" t="n"/>
      <c r="G96" s="1238" t="n"/>
      <c r="H96" s="1238" t="n"/>
      <c r="I96" s="1238" t="n"/>
      <c r="J96" s="1238" t="n"/>
      <c r="K96" s="1238">
        <f>C96-D96-F96</f>
        <v/>
      </c>
      <c r="L96" s="227">
        <f>K96*2.5/100</f>
        <v/>
      </c>
    </row>
    <row r="97" ht="19.5" customHeight="1" thickBot="1">
      <c r="A97" s="1200" t="inlineStr">
        <is>
          <t>Total</t>
        </is>
      </c>
      <c r="B97" s="973" t="n"/>
      <c r="C97" s="971">
        <f>SUM(C92:C96)</f>
        <v/>
      </c>
      <c r="D97" s="971">
        <f>SUM(D92:D96)</f>
        <v/>
      </c>
      <c r="E97" s="971">
        <f>SUM(E92:E96)</f>
        <v/>
      </c>
      <c r="F97" s="971" t="n"/>
      <c r="G97" s="971" t="n"/>
      <c r="H97" s="971">
        <f>SUM(H92:H96)</f>
        <v/>
      </c>
      <c r="I97" s="971" t="n"/>
      <c r="J97" s="971">
        <f>SUM(J92:J96)</f>
        <v/>
      </c>
      <c r="K97" s="971">
        <f>SUM(K92:K96)</f>
        <v/>
      </c>
    </row>
    <row r="99" ht="15.75" customHeight="1">
      <c r="B99" s="1243" t="inlineStr">
        <is>
          <t>Total Credit Side</t>
        </is>
      </c>
      <c r="C99" s="1244">
        <f>+C74+C97+C85</f>
        <v/>
      </c>
      <c r="D99" s="985" t="n"/>
      <c r="H99" s="985" t="n"/>
      <c r="I99" s="985" t="n"/>
    </row>
    <row r="100" ht="15.75" customHeight="1">
      <c r="B100" s="1243" t="inlineStr">
        <is>
          <t>Total Debit Side</t>
        </is>
      </c>
      <c r="C100" s="1244">
        <f>+H74+E74+D97+H97+E85</f>
        <v/>
      </c>
    </row>
    <row r="102">
      <c r="A102">
        <f>+'SUN REALTY-CALC'!A119</f>
        <v/>
      </c>
    </row>
  </sheetData>
  <mergeCells count="39">
    <mergeCell ref="B90:B91"/>
    <mergeCell ref="J77:J78"/>
    <mergeCell ref="A7:A8"/>
    <mergeCell ref="G7:G8"/>
    <mergeCell ref="B77:B78"/>
    <mergeCell ref="D77:D78"/>
    <mergeCell ref="I7:I8"/>
    <mergeCell ref="A90:A91"/>
    <mergeCell ref="A1:K3"/>
    <mergeCell ref="C90:C91"/>
    <mergeCell ref="D7:D8"/>
    <mergeCell ref="E90:E91"/>
    <mergeCell ref="K90:K91"/>
    <mergeCell ref="H7:H8"/>
    <mergeCell ref="E77:E78"/>
    <mergeCell ref="K77:K78"/>
    <mergeCell ref="J7:J8"/>
    <mergeCell ref="A89:H89"/>
    <mergeCell ref="H90:H91"/>
    <mergeCell ref="F90:F91"/>
    <mergeCell ref="A85:B85"/>
    <mergeCell ref="C7:C8"/>
    <mergeCell ref="J90:J91"/>
    <mergeCell ref="E7:E8"/>
    <mergeCell ref="K7:K8"/>
    <mergeCell ref="A76:H76"/>
    <mergeCell ref="F77:F78"/>
    <mergeCell ref="H77:H78"/>
    <mergeCell ref="A77:A78"/>
    <mergeCell ref="A97:B97"/>
    <mergeCell ref="A4:K4"/>
    <mergeCell ref="A6:C6"/>
    <mergeCell ref="G90:G91"/>
    <mergeCell ref="B7:B8"/>
    <mergeCell ref="C77:C78"/>
    <mergeCell ref="F7:F8"/>
    <mergeCell ref="L7:L8"/>
    <mergeCell ref="G77:G78"/>
    <mergeCell ref="D90:D91"/>
  </mergeCells>
  <conditionalFormatting sqref="B63">
    <cfRule type="duplicateValues" priority="1" dxfId="0"/>
  </conditionalFormatting>
  <conditionalFormatting sqref="B1:B62 B72:B91 B96:B1048576">
    <cfRule type="duplicateValues" priority="2" dxfId="0"/>
  </conditionalFormatting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M98"/>
  <sheetViews>
    <sheetView view="pageBreakPreview" topLeftCell="A8" zoomScale="112" zoomScaleNormal="112" zoomScaleSheetLayoutView="112" workbookViewId="0">
      <selection activeCell="B6" sqref="B6"/>
    </sheetView>
  </sheetViews>
  <sheetFormatPr baseColWidth="8" defaultColWidth="15.28515625" defaultRowHeight="14.25"/>
  <cols>
    <col width="55.42578125" bestFit="1" customWidth="1" style="1" min="1" max="1"/>
    <col width="16.42578125" bestFit="1" customWidth="1" style="1" min="2" max="2"/>
    <col width="15.28515625" customWidth="1" style="1" min="3" max="16384"/>
  </cols>
  <sheetData>
    <row r="1" ht="36" customHeight="1" thickBot="1">
      <c r="A1" s="573" t="inlineStr">
        <is>
          <t>Sun Realty -SUN PARK WEST</t>
        </is>
      </c>
      <c r="B1" s="574" t="n"/>
      <c r="C1" s="574" t="n"/>
      <c r="D1" s="574" t="n"/>
      <c r="E1" s="574" t="n"/>
      <c r="F1" s="574" t="n"/>
      <c r="G1" s="574" t="n"/>
      <c r="H1" s="575" t="n"/>
    </row>
    <row r="2" ht="15" customHeight="1" thickBot="1">
      <c r="A2" s="1203" t="inlineStr">
        <is>
          <t xml:space="preserve">                      GST PAYABLE ON COMMERCIAL CONSTRUCTION  FOR THE MONTH OF AUG'26</t>
        </is>
      </c>
      <c r="B2" s="1204" t="n"/>
      <c r="C2" s="1204" t="n"/>
      <c r="D2" s="1204" t="n"/>
      <c r="E2" s="1204" t="n"/>
      <c r="F2" s="1204" t="n"/>
      <c r="G2" s="1204" t="n"/>
      <c r="H2" s="1205" t="n"/>
    </row>
    <row r="3" ht="15" customHeight="1" thickBot="1"/>
    <row r="4" ht="15" customHeight="1" thickBot="1">
      <c r="A4" s="1057" t="inlineStr">
        <is>
          <t>Supply</t>
        </is>
      </c>
      <c r="B4" s="1057" t="inlineStr">
        <is>
          <t>AMOUNT</t>
        </is>
      </c>
      <c r="C4" s="1057" t="inlineStr">
        <is>
          <t>RATE</t>
        </is>
      </c>
      <c r="D4" s="1057" t="inlineStr">
        <is>
          <t xml:space="preserve">CGST </t>
        </is>
      </c>
      <c r="E4" s="1057" t="inlineStr">
        <is>
          <t>SGST</t>
        </is>
      </c>
      <c r="F4" s="1245" t="inlineStr">
        <is>
          <t>TOTAL</t>
        </is>
      </c>
    </row>
    <row r="5">
      <c r="A5" s="1246" t="n"/>
      <c r="B5" s="1247" t="n"/>
      <c r="C5" s="1248" t="n"/>
      <c r="D5" s="1248" t="n"/>
      <c r="E5" s="1248" t="n"/>
      <c r="F5" s="1249" t="n"/>
      <c r="H5" s="398" t="inlineStr">
        <is>
          <t>FILED GSTR-1</t>
        </is>
      </c>
      <c r="I5" s="331" t="inlineStr">
        <is>
          <t>TAXABLE VALUE</t>
        </is>
      </c>
      <c r="J5" s="331" t="inlineStr">
        <is>
          <t>CGST</t>
        </is>
      </c>
      <c r="K5" s="331" t="inlineStr">
        <is>
          <t>SGST</t>
        </is>
      </c>
    </row>
    <row r="6">
      <c r="A6" s="1121" t="inlineStr">
        <is>
          <t>SUN REALTY -SUN PARK WEST RESIDENTIAL</t>
        </is>
      </c>
      <c r="B6" s="1122">
        <f>+'SUN PARK WEST- MEMBER COLL.'!K74</f>
        <v/>
      </c>
      <c r="C6" s="602" t="n">
        <v>0.01</v>
      </c>
      <c r="D6" s="1206">
        <f>B6*0.5%</f>
        <v/>
      </c>
      <c r="E6" s="1206">
        <f>B6*0.5/100</f>
        <v/>
      </c>
      <c r="F6" s="1207">
        <f>+D6+E6</f>
        <v/>
      </c>
      <c r="H6" s="810" t="n">
        <v>46113</v>
      </c>
      <c r="I6" s="331" t="n">
        <v>198020</v>
      </c>
      <c r="J6" s="331" t="n"/>
      <c r="K6" s="331" t="n"/>
    </row>
    <row r="7">
      <c r="A7" s="1121" t="inlineStr">
        <is>
          <t>SUSPNESE A/C PAID @1% [ Deleted From Books of Apr-26]</t>
        </is>
      </c>
      <c r="B7" s="1122">
        <f>+-I11</f>
        <v/>
      </c>
      <c r="C7" s="602" t="n">
        <v>0.01</v>
      </c>
      <c r="D7" s="1206">
        <f>B7*0.5%</f>
        <v/>
      </c>
      <c r="E7" s="1206">
        <f>B7*0.5/100</f>
        <v/>
      </c>
      <c r="F7" s="1207">
        <f>+D7+E7</f>
        <v/>
      </c>
      <c r="H7" s="331" t="n"/>
      <c r="I7" s="331" t="n"/>
      <c r="J7" s="1250" t="n"/>
      <c r="K7" s="1250" t="n"/>
    </row>
    <row r="8">
      <c r="A8" s="1121" t="inlineStr">
        <is>
          <t>Less : Refund/Chq Return</t>
        </is>
      </c>
      <c r="B8" s="1122">
        <f>-'SUN PARK WEST- MEMBER COLL.'!H74-'SUN PARK WEST- MEMBER COLL.'!I74</f>
        <v/>
      </c>
      <c r="C8" s="602" t="n">
        <v>0.01</v>
      </c>
      <c r="D8" s="1206">
        <f>B8*0.5%</f>
        <v/>
      </c>
      <c r="E8" s="1206">
        <f>D8</f>
        <v/>
      </c>
      <c r="F8" s="1207">
        <f>+D8+E8</f>
        <v/>
      </c>
      <c r="H8" s="331" t="n"/>
      <c r="I8" s="331" t="n"/>
      <c r="J8" s="1250" t="n"/>
      <c r="K8" s="1250" t="n"/>
    </row>
    <row r="9">
      <c r="A9" s="1121" t="n"/>
      <c r="B9" s="1122" t="n"/>
      <c r="C9" s="602" t="n"/>
      <c r="D9" s="1206" t="n"/>
      <c r="E9" s="1206" t="n"/>
      <c r="F9" s="1207" t="n"/>
      <c r="H9" s="331" t="n"/>
      <c r="I9" s="331" t="n"/>
      <c r="J9" s="1250" t="n"/>
      <c r="K9" s="1250" t="n"/>
    </row>
    <row r="10">
      <c r="A10" s="1121" t="inlineStr">
        <is>
          <t>SUN REALTY -SUN PARK WEST RESIDENTIAL</t>
        </is>
      </c>
      <c r="B10" s="1122">
        <f>+'SUN PARK WEST- MEMBER COLL.'!K85</f>
        <v/>
      </c>
      <c r="C10" s="602" t="n">
        <v>0.05</v>
      </c>
      <c r="D10" s="1206">
        <f>B10*C10/2</f>
        <v/>
      </c>
      <c r="E10" s="1206">
        <f>B10*C10/2</f>
        <v/>
      </c>
      <c r="F10" s="1207">
        <f>+D10+E10</f>
        <v/>
      </c>
      <c r="H10" s="331" t="n"/>
      <c r="I10" s="331" t="n"/>
      <c r="J10" s="1250" t="n"/>
      <c r="K10" s="1250" t="n"/>
    </row>
    <row r="11" ht="30" customHeight="1">
      <c r="A11" s="1124" t="inlineStr">
        <is>
          <t>SUSPENSE TRANSFER TO MEMBERS A/C@5% 
[ AS PER GST RECO]</t>
        </is>
      </c>
      <c r="B11" s="1122">
        <f>+I19-I26</f>
        <v/>
      </c>
      <c r="C11" s="602" t="n">
        <v>0.05</v>
      </c>
      <c r="D11" s="1206">
        <f>B11*C11/2</f>
        <v/>
      </c>
      <c r="E11" s="1206">
        <f>B11*C11/2</f>
        <v/>
      </c>
      <c r="F11" s="1207">
        <f>+D11+E11</f>
        <v/>
      </c>
      <c r="I11" s="1">
        <f>SUM(I6:I10)</f>
        <v/>
      </c>
      <c r="J11" s="1">
        <f>SUM(J6:J10)</f>
        <v/>
      </c>
      <c r="K11" s="1">
        <f>SUM(K6:K10)</f>
        <v/>
      </c>
    </row>
    <row r="12">
      <c r="A12" s="1121" t="inlineStr">
        <is>
          <t>Less : Refund/Chq Return</t>
        </is>
      </c>
      <c r="B12" s="1122">
        <f>-'SUN PARK WEST- MEMBER COLL.'!H85</f>
        <v/>
      </c>
      <c r="C12" s="602" t="n">
        <v>0.05</v>
      </c>
      <c r="D12" s="1206">
        <f>B12*C12/2</f>
        <v/>
      </c>
      <c r="E12" s="1206">
        <f>B12*C12/2</f>
        <v/>
      </c>
      <c r="F12" s="1207">
        <f>+D12+E12</f>
        <v/>
      </c>
    </row>
    <row r="13">
      <c r="A13" s="1121" t="n"/>
      <c r="B13" s="1122" t="n"/>
      <c r="C13" s="602" t="n"/>
      <c r="D13" s="1206" t="n"/>
      <c r="E13" s="1206" t="n"/>
      <c r="F13" s="1207" t="n"/>
      <c r="G13" s="1007" t="n"/>
      <c r="H13" s="398" t="inlineStr">
        <is>
          <t>AS PER BOOKS</t>
        </is>
      </c>
      <c r="I13" s="331" t="inlineStr">
        <is>
          <t>TAXABLE VALUE</t>
        </is>
      </c>
      <c r="J13" s="331" t="inlineStr">
        <is>
          <t>CGST</t>
        </is>
      </c>
      <c r="K13" s="331" t="inlineStr">
        <is>
          <t>SGST</t>
        </is>
      </c>
    </row>
    <row r="14">
      <c r="A14" s="1121" t="inlineStr">
        <is>
          <t>SUN REALTY -SUN PARK WEST COMMERCIAL</t>
        </is>
      </c>
      <c r="B14" s="1122">
        <f>+'SUN PARK WEST- MEMBER COLL.'!K97</f>
        <v/>
      </c>
      <c r="C14" s="602" t="n">
        <v>0.05</v>
      </c>
      <c r="D14" s="1206">
        <f>B14*C14/2</f>
        <v/>
      </c>
      <c r="E14" s="1206">
        <f>B14*C14/2</f>
        <v/>
      </c>
      <c r="F14" s="1207">
        <f>+D14+E14</f>
        <v/>
      </c>
      <c r="G14" s="1007" t="n"/>
      <c r="H14" s="331" t="n"/>
      <c r="I14" s="612" t="n"/>
      <c r="J14" s="612" t="n"/>
      <c r="K14" s="612" t="n"/>
    </row>
    <row r="15">
      <c r="A15" s="1121" t="inlineStr">
        <is>
          <t>Less : Refund/Chq Return</t>
        </is>
      </c>
      <c r="B15" s="1122">
        <f>-'SUN PARK WEST- MEMBER COLL.'!H97</f>
        <v/>
      </c>
      <c r="C15" s="602" t="n">
        <v>0.05</v>
      </c>
      <c r="D15" s="1206">
        <f>B15*C15/2</f>
        <v/>
      </c>
      <c r="E15" s="1206">
        <f>B15*C15/2</f>
        <v/>
      </c>
      <c r="F15" s="1207">
        <f>+D15+E15</f>
        <v/>
      </c>
      <c r="G15" s="1007" t="n"/>
      <c r="H15" s="331" t="n"/>
      <c r="I15" s="612" t="n"/>
      <c r="J15" s="612" t="n"/>
      <c r="K15" s="612" t="n"/>
    </row>
    <row r="16" ht="15" customHeight="1" thickBot="1">
      <c r="A16" s="1137" t="n"/>
      <c r="B16" s="1138" t="n"/>
      <c r="C16" s="613" t="n"/>
      <c r="D16" s="1251" t="n"/>
      <c r="E16" s="1251" t="n"/>
      <c r="F16" s="1252" t="n"/>
      <c r="H16" s="331" t="n"/>
      <c r="I16" s="331" t="n"/>
      <c r="J16" s="612" t="n"/>
      <c r="K16" s="612" t="n"/>
    </row>
    <row r="17" ht="15" customHeight="1" thickBot="1">
      <c r="A17" s="1082" t="inlineStr">
        <is>
          <t>TOTAL</t>
        </is>
      </c>
      <c r="B17" s="1182">
        <f>SUM(B6:B15)</f>
        <v/>
      </c>
      <c r="C17" s="1182" t="n"/>
      <c r="D17" s="1182">
        <f>SUM(D6:D15)</f>
        <v/>
      </c>
      <c r="E17" s="1182">
        <f>SUM(E6:E15)</f>
        <v/>
      </c>
      <c r="F17" s="1182">
        <f>SUM(F6:F15)</f>
        <v/>
      </c>
      <c r="G17" s="1007" t="n"/>
      <c r="H17" s="331" t="n"/>
      <c r="I17" s="612" t="n"/>
      <c r="J17" s="612" t="n"/>
      <c r="K17" s="612" t="n"/>
    </row>
    <row r="18" ht="15" customHeight="1" thickBot="1">
      <c r="H18" s="331" t="n"/>
      <c r="I18" s="331" t="n"/>
      <c r="J18" s="612" t="n"/>
      <c r="K18" s="612" t="n"/>
    </row>
    <row r="19" ht="15" customHeight="1" thickBot="1">
      <c r="A19" s="1082" t="inlineStr">
        <is>
          <t xml:space="preserve">                  GST PAYABLE UNDER RCM FOR THE MONTH OF AUG'26</t>
        </is>
      </c>
      <c r="B19" s="972" t="n"/>
      <c r="C19" s="972" t="n"/>
      <c r="D19" s="972" t="n"/>
      <c r="E19" s="972" t="n"/>
      <c r="F19" s="973" t="n"/>
      <c r="G19" s="1016" t="n"/>
      <c r="H19" s="1016" t="n"/>
      <c r="I19" s="798">
        <f>SUM(I14:I18)</f>
        <v/>
      </c>
      <c r="J19" s="798">
        <f>SUM(J14:J18)</f>
        <v/>
      </c>
      <c r="K19" s="798">
        <f>SUM(K14:K18)</f>
        <v/>
      </c>
    </row>
    <row r="20" ht="15" customHeight="1" thickBot="1">
      <c r="A20" s="991" t="inlineStr">
        <is>
          <t>.</t>
        </is>
      </c>
      <c r="B20" s="1034" t="n"/>
      <c r="J20" s="798" t="n"/>
    </row>
    <row r="21" ht="15" customHeight="1" thickBot="1">
      <c r="A21" s="1057" t="inlineStr">
        <is>
          <t>Service</t>
        </is>
      </c>
      <c r="B21" s="1057" t="inlineStr">
        <is>
          <t>AMOUNT</t>
        </is>
      </c>
      <c r="C21" s="1057" t="inlineStr">
        <is>
          <t>RATE</t>
        </is>
      </c>
      <c r="D21" s="1057" t="inlineStr">
        <is>
          <t>CGST</t>
        </is>
      </c>
      <c r="E21" s="1057" t="inlineStr">
        <is>
          <t>SGST</t>
        </is>
      </c>
      <c r="F21" s="1057" t="inlineStr">
        <is>
          <t>TOTAL</t>
        </is>
      </c>
      <c r="H21" s="1253" t="inlineStr">
        <is>
          <t>TAXABLE VALUE CHANGE IN BOOKS AFTER FILING GSTR-1 OF AUG-25</t>
        </is>
      </c>
      <c r="I21" s="1254" t="n"/>
      <c r="J21" s="1254" t="n"/>
      <c r="K21" s="1255" t="n"/>
    </row>
    <row r="22">
      <c r="A22" s="1215" t="n"/>
      <c r="B22" s="1256" t="n"/>
      <c r="C22" s="663" t="n"/>
      <c r="D22" s="1005" t="n"/>
      <c r="E22" s="1005" t="n"/>
      <c r="F22" s="1006" t="n"/>
      <c r="H22" s="398" t="inlineStr">
        <is>
          <t>FILED GSTR-1</t>
        </is>
      </c>
      <c r="I22" s="331" t="inlineStr">
        <is>
          <t>TAXABLE VALUE</t>
        </is>
      </c>
      <c r="J22" s="331" t="inlineStr">
        <is>
          <t>CGST</t>
        </is>
      </c>
      <c r="K22" s="331" t="inlineStr">
        <is>
          <t>SGST</t>
        </is>
      </c>
    </row>
    <row r="23">
      <c r="A23" s="1190" t="inlineStr">
        <is>
          <t>SUN REALTY-SUN PARK WEST</t>
        </is>
      </c>
      <c r="B23" s="1183" t="n"/>
      <c r="C23" s="734" t="n"/>
      <c r="D23" s="982" t="n"/>
      <c r="E23" s="982" t="n"/>
      <c r="F23" s="1092" t="n"/>
      <c r="H23" s="331" t="n"/>
      <c r="I23" s="331" t="n"/>
      <c r="J23" s="331" t="n"/>
      <c r="K23" s="331" t="n"/>
    </row>
    <row r="24">
      <c r="A24" s="1216" t="inlineStr">
        <is>
          <t>Advocate fees</t>
        </is>
      </c>
      <c r="B24" s="1183" t="n">
        <v>0</v>
      </c>
      <c r="C24" s="602" t="n">
        <v>0.18</v>
      </c>
      <c r="D24" s="1206">
        <f>+B24*9/100</f>
        <v/>
      </c>
      <c r="E24" s="1206">
        <f>+D24</f>
        <v/>
      </c>
      <c r="F24" s="1207">
        <f>+D24+E24</f>
        <v/>
      </c>
      <c r="H24" s="398" t="inlineStr">
        <is>
          <t>AS PER BOOKS</t>
        </is>
      </c>
      <c r="I24" s="331" t="n"/>
      <c r="J24" s="331" t="n"/>
      <c r="K24" s="331" t="n"/>
    </row>
    <row r="25" ht="25.5" customHeight="1">
      <c r="A25" s="1257" t="inlineStr">
        <is>
          <t>Carting and Transportation (Gayatri Sales Corp)/ ASHOK P VANJARA</t>
        </is>
      </c>
      <c r="B25" s="1183" t="n">
        <v>0</v>
      </c>
      <c r="C25" s="602" t="n">
        <v>0.05</v>
      </c>
      <c r="D25" s="1206">
        <f>+B25*0.025</f>
        <v/>
      </c>
      <c r="E25" s="1206">
        <f>+D25</f>
        <v/>
      </c>
      <c r="F25" s="1207">
        <f>+D25+E25</f>
        <v/>
      </c>
      <c r="H25" s="799" t="n"/>
      <c r="I25" s="799" t="n"/>
      <c r="J25" s="799" t="n"/>
      <c r="K25" s="799" t="n"/>
    </row>
    <row r="26">
      <c r="A26" s="1216" t="inlineStr">
        <is>
          <t>Security Services</t>
        </is>
      </c>
      <c r="B26" s="1183" t="n">
        <v>18000</v>
      </c>
      <c r="C26" s="602" t="n">
        <v>0.18</v>
      </c>
      <c r="D26" s="1206">
        <f>+B26*9%</f>
        <v/>
      </c>
      <c r="E26" s="1206">
        <f>+B26*9%</f>
        <v/>
      </c>
      <c r="F26" s="1207">
        <f>SUM(D26:E26)</f>
        <v/>
      </c>
      <c r="H26" s="800" t="inlineStr">
        <is>
          <t>EXCESS GST PAID</t>
        </is>
      </c>
      <c r="I26" s="800">
        <f>I23-I25</f>
        <v/>
      </c>
      <c r="J26" s="800">
        <f>J23-J25</f>
        <v/>
      </c>
      <c r="K26" s="800">
        <f>K23-K25</f>
        <v/>
      </c>
    </row>
    <row r="27">
      <c r="A27" s="1216" t="inlineStr">
        <is>
          <t>Sponsorship Exp</t>
        </is>
      </c>
      <c r="B27" s="1183" t="n"/>
      <c r="C27" s="602" t="n">
        <v>0.18</v>
      </c>
      <c r="D27" s="1206">
        <f>+B27*9%</f>
        <v/>
      </c>
      <c r="E27" s="1206">
        <f>+B27*9%</f>
        <v/>
      </c>
      <c r="F27" s="1207">
        <f>SUM(D27:E27)</f>
        <v/>
      </c>
      <c r="G27" s="909" t="n"/>
    </row>
    <row r="28" ht="15" customHeight="1" thickBot="1">
      <c r="A28" s="1258" t="inlineStr">
        <is>
          <t>Royalty Exp.</t>
        </is>
      </c>
      <c r="B28" s="1185" t="n"/>
      <c r="C28" s="613" t="n">
        <v>0.18</v>
      </c>
      <c r="D28" s="1251">
        <f>+B28*9%</f>
        <v/>
      </c>
      <c r="E28" s="1251">
        <f>+B28*9%</f>
        <v/>
      </c>
      <c r="F28" s="1252">
        <f>SUM(D28:E28)</f>
        <v/>
      </c>
    </row>
    <row r="29" ht="15" customHeight="1" thickBot="1">
      <c r="A29" s="1167" t="inlineStr">
        <is>
          <t>TOTAL</t>
        </is>
      </c>
      <c r="B29" s="1182">
        <f>SUM(B23:B28)</f>
        <v/>
      </c>
      <c r="C29" s="1182" t="n"/>
      <c r="D29" s="1182">
        <f>SUM(D23:D28)</f>
        <v/>
      </c>
      <c r="E29" s="1182">
        <f>SUM(E23:E28)</f>
        <v/>
      </c>
      <c r="F29" s="1182">
        <f>SUM(F23:F28)</f>
        <v/>
      </c>
    </row>
    <row r="30" ht="15" customHeight="1" thickBot="1">
      <c r="A30" s="1056" t="n"/>
      <c r="B30" s="1016" t="n"/>
      <c r="C30" s="1016" t="n"/>
      <c r="D30" s="1016" t="n"/>
      <c r="E30" s="1016" t="n"/>
      <c r="F30" s="1056" t="n"/>
      <c r="G30" s="1016" t="n"/>
      <c r="H30" s="1016" t="n"/>
    </row>
    <row r="31" ht="15" customHeight="1" thickBot="1">
      <c r="A31" s="1082" t="inlineStr">
        <is>
          <t xml:space="preserve">                    INELIGIBLE CREDIT FOR THE MONTH OF AUG'26</t>
        </is>
      </c>
      <c r="B31" s="972" t="n"/>
      <c r="C31" s="972" t="n"/>
      <c r="D31" s="973" t="n"/>
      <c r="E31" s="1016" t="n"/>
      <c r="F31" s="1016" t="n"/>
      <c r="G31" s="1016" t="n"/>
      <c r="H31" s="1016" t="n"/>
    </row>
    <row r="32" ht="15" customHeight="1" thickBot="1">
      <c r="A32" s="991" t="n"/>
      <c r="B32" s="991" t="n"/>
      <c r="C32" s="991" t="n"/>
      <c r="D32" s="991" t="n"/>
      <c r="E32" s="991" t="n"/>
      <c r="F32" s="991" t="n"/>
      <c r="G32" s="991" t="n"/>
      <c r="H32" s="991" t="n"/>
    </row>
    <row r="33" ht="15" customHeight="1" thickBot="1">
      <c r="A33" s="1035" t="inlineStr">
        <is>
          <t>PARTICULARS</t>
        </is>
      </c>
      <c r="B33" s="1057" t="inlineStr">
        <is>
          <t>CGST</t>
        </is>
      </c>
      <c r="C33" s="1057" t="inlineStr">
        <is>
          <t>SGST</t>
        </is>
      </c>
      <c r="D33" s="1057" t="inlineStr">
        <is>
          <t>IGST</t>
        </is>
      </c>
      <c r="E33" s="1034" t="n"/>
      <c r="F33" s="991" t="n"/>
      <c r="G33" s="991" t="n"/>
      <c r="H33" s="991" t="n"/>
    </row>
    <row r="34">
      <c r="A34" s="1058" t="n"/>
      <c r="B34" s="1037" t="n"/>
      <c r="C34" s="1059" t="n"/>
      <c r="D34" s="1060" t="n"/>
      <c r="E34" s="1034" t="n"/>
      <c r="F34" s="991" t="n"/>
      <c r="G34" s="991" t="n"/>
      <c r="H34" s="991" t="n"/>
    </row>
    <row r="35">
      <c r="A35" s="1061" t="inlineStr">
        <is>
          <t xml:space="preserve"> ITC FOR THE  AUG-26</t>
        </is>
      </c>
      <c r="B35" s="1069" t="n"/>
      <c r="C35" s="1066">
        <f>+B35</f>
        <v/>
      </c>
      <c r="D35" s="1067" t="n">
        <v>0</v>
      </c>
      <c r="E35" s="1033" t="n"/>
      <c r="F35" s="991" t="n"/>
      <c r="G35" s="991" t="n"/>
      <c r="H35" s="991" t="n"/>
    </row>
    <row r="36">
      <c r="A36" s="1259" t="inlineStr">
        <is>
          <t>Direct Exp.</t>
        </is>
      </c>
      <c r="B36" s="1069">
        <f>353435.84</f>
        <v/>
      </c>
      <c r="C36" s="1066">
        <f>+B36</f>
        <v/>
      </c>
      <c r="D36" s="1067" t="n"/>
      <c r="E36" s="1033" t="n"/>
      <c r="F36" s="991" t="n"/>
      <c r="G36" s="991" t="n"/>
      <c r="H36" s="991" t="n"/>
    </row>
    <row r="37">
      <c r="A37" s="1259" t="inlineStr">
        <is>
          <t>Indirect Exp.</t>
        </is>
      </c>
      <c r="B37" s="1069" t="n">
        <v>540</v>
      </c>
      <c r="C37" s="1066">
        <f>+B37</f>
        <v/>
      </c>
      <c r="D37" s="1067" t="n">
        <v>0</v>
      </c>
      <c r="E37" s="1033" t="n"/>
      <c r="F37" s="991" t="n"/>
      <c r="G37" s="991" t="n"/>
      <c r="H37" s="991" t="n"/>
    </row>
    <row r="38">
      <c r="A38" s="1061" t="inlineStr">
        <is>
          <t xml:space="preserve">Add: Ineligible ITC </t>
        </is>
      </c>
      <c r="B38" s="1069" t="n"/>
      <c r="C38" s="1066">
        <f>+B38</f>
        <v/>
      </c>
      <c r="D38" s="1067" t="n"/>
      <c r="E38" s="1033" t="n"/>
      <c r="F38" s="991" t="n"/>
      <c r="G38" s="991" t="n"/>
      <c r="H38" s="991" t="n"/>
    </row>
    <row r="39">
      <c r="A39" s="1061" t="inlineStr">
        <is>
          <t>Add: Ineligible ITC  FOR RCM</t>
        </is>
      </c>
      <c r="B39" s="1069">
        <f>+D29</f>
        <v/>
      </c>
      <c r="C39" s="1069">
        <f>+E29</f>
        <v/>
      </c>
      <c r="D39" s="1067" t="n"/>
      <c r="E39" s="1033" t="n"/>
      <c r="F39" s="991" t="n"/>
      <c r="G39" s="991" t="n"/>
      <c r="H39" s="991" t="n"/>
    </row>
    <row r="40" ht="15" customHeight="1" thickBot="1">
      <c r="A40" s="1071" t="inlineStr">
        <is>
          <t xml:space="preserve">         Total ineligible CENVAYT</t>
        </is>
      </c>
      <c r="B40" s="1072">
        <f>SUM(B35:B39)</f>
        <v/>
      </c>
      <c r="C40" s="1072">
        <f>SUM(C35:C39)</f>
        <v/>
      </c>
      <c r="D40" s="1072">
        <f>SUM(D35:D39)</f>
        <v/>
      </c>
      <c r="E40" s="1033" t="n"/>
      <c r="F40" s="1074" t="n"/>
      <c r="G40" s="1074" t="n"/>
      <c r="H40" s="1074" t="n"/>
    </row>
    <row r="41" ht="15" customHeight="1" thickBot="1">
      <c r="A41" s="1181" t="inlineStr">
        <is>
          <t>TOTAL</t>
        </is>
      </c>
      <c r="B41" s="1182">
        <f>SUM(B40:B40)</f>
        <v/>
      </c>
      <c r="C41" s="1182">
        <f>SUM(C40:C40)</f>
        <v/>
      </c>
      <c r="D41" s="1182">
        <f>SUM(D40:D40)</f>
        <v/>
      </c>
      <c r="E41" s="1016" t="n"/>
      <c r="F41" s="1016" t="n"/>
      <c r="G41" s="1016" t="n"/>
      <c r="H41" s="991" t="n"/>
    </row>
    <row r="42">
      <c r="A42" s="1056" t="n"/>
      <c r="B42" s="1016" t="n"/>
      <c r="C42" s="1016" t="n"/>
      <c r="D42" s="1016" t="n"/>
      <c r="E42" s="1016" t="n"/>
      <c r="F42" s="991" t="n"/>
      <c r="G42" s="991" t="n"/>
      <c r="H42" s="991" t="n"/>
    </row>
    <row r="43" ht="15" customHeight="1" thickBot="1"/>
    <row r="44" ht="15" customHeight="1" thickBot="1">
      <c r="A44" s="1082" t="inlineStr">
        <is>
          <t xml:space="preserve">                GST Payable for the month of AUG'26</t>
        </is>
      </c>
      <c r="B44" s="972" t="n"/>
      <c r="C44" s="972" t="n"/>
      <c r="D44" s="973" t="n"/>
      <c r="E44" s="1016" t="n"/>
      <c r="F44" s="1016" t="n"/>
      <c r="G44" s="1016" t="n"/>
    </row>
    <row r="45" ht="15" customHeight="1" thickBot="1">
      <c r="C45" s="442" t="n"/>
      <c r="D45" s="442" t="n"/>
      <c r="E45" s="1083" t="n"/>
    </row>
    <row r="46" ht="16.5" customHeight="1" thickBot="1">
      <c r="A46" s="1035" t="inlineStr">
        <is>
          <t>PARTICULARS</t>
        </is>
      </c>
      <c r="B46" s="1057" t="inlineStr">
        <is>
          <t>CGST</t>
        </is>
      </c>
      <c r="C46" s="1057" t="inlineStr">
        <is>
          <t>SGST</t>
        </is>
      </c>
      <c r="D46" s="1057" t="inlineStr">
        <is>
          <t>TOTAL</t>
        </is>
      </c>
      <c r="E46" s="433" t="n"/>
    </row>
    <row r="47">
      <c r="A47" s="434" t="n"/>
      <c r="B47" s="1069" t="n"/>
      <c r="C47" s="1069" t="n"/>
      <c r="D47" s="1069" t="n"/>
      <c r="E47" s="991" t="n"/>
    </row>
    <row r="48">
      <c r="A48" s="625">
        <f>+A6</f>
        <v/>
      </c>
      <c r="B48" s="1069">
        <f>+D17</f>
        <v/>
      </c>
      <c r="C48" s="1069">
        <f>+E17</f>
        <v/>
      </c>
      <c r="D48" s="1069">
        <f>+F17</f>
        <v/>
      </c>
      <c r="E48" s="1033" t="n"/>
    </row>
    <row r="49" ht="15" customHeight="1" thickBot="1">
      <c r="A49" s="626" t="n"/>
      <c r="B49" s="1084" t="n"/>
      <c r="C49" s="1084" t="n"/>
      <c r="D49" s="1084" t="n"/>
      <c r="E49" s="1033" t="n"/>
    </row>
    <row r="50">
      <c r="A50" s="628" t="inlineStr">
        <is>
          <t>TOTAL PAYABLE FOR RESIDENTIAL INCLUDING IGST</t>
        </is>
      </c>
      <c r="B50" s="1069">
        <f>+B48+B49</f>
        <v/>
      </c>
      <c r="C50" s="1069">
        <f>+C48+C49</f>
        <v/>
      </c>
      <c r="D50" s="1069">
        <f>+D48+D49</f>
        <v/>
      </c>
      <c r="E50" s="1033" t="n"/>
    </row>
    <row r="51">
      <c r="A51" s="626" t="n"/>
      <c r="B51" s="1069" t="n"/>
      <c r="C51" s="1069" t="n"/>
      <c r="D51" s="1069" t="n"/>
      <c r="E51" s="1033" t="n"/>
    </row>
    <row r="52">
      <c r="A52" s="1260" t="inlineStr">
        <is>
          <t>GST UNDER RCM</t>
        </is>
      </c>
      <c r="B52" s="1069" t="n"/>
      <c r="C52" s="1069" t="n"/>
      <c r="D52" s="1069" t="n"/>
      <c r="E52" s="1033" t="n"/>
    </row>
    <row r="53">
      <c r="A53" s="626" t="inlineStr">
        <is>
          <t>SUN Footprint</t>
        </is>
      </c>
      <c r="B53" s="1069">
        <f>+D29</f>
        <v/>
      </c>
      <c r="C53" s="1069">
        <f>B53</f>
        <v/>
      </c>
      <c r="D53" s="1069">
        <f>+B53+C53</f>
        <v/>
      </c>
      <c r="E53" s="1033" t="n"/>
    </row>
    <row r="54" ht="15" customHeight="1" thickBot="1">
      <c r="A54" s="626" t="inlineStr">
        <is>
          <t>SUN OFFICE</t>
        </is>
      </c>
      <c r="B54" s="1069" t="n"/>
      <c r="C54" s="1069" t="n"/>
      <c r="D54" s="1069">
        <f>+B54+C54</f>
        <v/>
      </c>
      <c r="E54" s="1033" t="n"/>
    </row>
    <row r="55" ht="15" customHeight="1" thickBot="1">
      <c r="A55" s="437" t="inlineStr">
        <is>
          <t xml:space="preserve">            GST Payable</t>
        </is>
      </c>
      <c r="B55" s="1085">
        <f>+B50+B53+B54</f>
        <v/>
      </c>
      <c r="C55" s="1085">
        <f>+C50+C53+C54</f>
        <v/>
      </c>
      <c r="D55" s="1085">
        <f>+D50+D53+D54</f>
        <v/>
      </c>
      <c r="E55" s="1086" t="n"/>
      <c r="F55" s="1007" t="n"/>
      <c r="G55" s="1007" t="n"/>
    </row>
    <row r="56" ht="15" customHeight="1" thickBot="1">
      <c r="A56" s="569" t="inlineStr">
        <is>
          <t xml:space="preserve">           Net GST Payable</t>
        </is>
      </c>
      <c r="B56" s="1194">
        <f>+B55</f>
        <v/>
      </c>
      <c r="C56" s="1194">
        <f>+C55</f>
        <v/>
      </c>
      <c r="D56" s="1194">
        <f>+D55</f>
        <v/>
      </c>
      <c r="E56" s="1086" t="n"/>
      <c r="F56" s="440" t="n"/>
      <c r="G56" s="1007" t="n"/>
    </row>
    <row r="58">
      <c r="A58" s="330" t="n"/>
      <c r="B58" s="330" t="n"/>
      <c r="C58" s="330" t="n"/>
      <c r="D58" s="330" t="n"/>
    </row>
    <row r="59">
      <c r="A59" s="398" t="inlineStr">
        <is>
          <t>As per Note</t>
        </is>
      </c>
      <c r="B59" s="398" t="n"/>
      <c r="C59" s="398" t="inlineStr">
        <is>
          <t>Taxable Amount</t>
        </is>
      </c>
      <c r="D59" s="398" t="inlineStr">
        <is>
          <t>CGST</t>
        </is>
      </c>
      <c r="E59" s="398" t="inlineStr">
        <is>
          <t>SGST</t>
        </is>
      </c>
      <c r="F59" s="329" t="n"/>
    </row>
    <row r="60">
      <c r="A60" s="331" t="n"/>
      <c r="B60" s="331" t="n"/>
      <c r="C60" s="612" t="n"/>
      <c r="D60" s="612" t="n"/>
      <c r="E60" s="612" t="n"/>
    </row>
    <row r="61">
      <c r="A61" s="331" t="n"/>
      <c r="B61" s="331" t="n"/>
      <c r="C61" s="612" t="n"/>
      <c r="D61" s="612" t="n"/>
      <c r="E61" s="612" t="n"/>
    </row>
    <row r="63">
      <c r="A63" s="330" t="n"/>
      <c r="B63" s="330" t="n"/>
      <c r="C63" s="330" t="n"/>
    </row>
    <row r="64">
      <c r="A64" s="330" t="n"/>
      <c r="B64" s="330" t="n"/>
      <c r="C64" s="330" t="n"/>
      <c r="D64" s="330" t="n"/>
    </row>
    <row r="66">
      <c r="B66" s="330" t="n"/>
    </row>
    <row r="78">
      <c r="H78" s="1">
        <f>127214-1238</f>
        <v/>
      </c>
    </row>
    <row r="98">
      <c r="M98" s="1">
        <f>7957235-6059</f>
        <v/>
      </c>
    </row>
  </sheetData>
  <mergeCells count="6">
    <mergeCell ref="A31:D31"/>
    <mergeCell ref="A19:F19"/>
    <mergeCell ref="H21:K21"/>
    <mergeCell ref="B20:H20"/>
    <mergeCell ref="G27:M27"/>
    <mergeCell ref="A44:D44"/>
  </mergeCells>
  <hyperlinks>
    <hyperlink xmlns:r="http://schemas.openxmlformats.org/officeDocument/2006/relationships" ref="E4" r:id="rId1"/>
    <hyperlink xmlns:r="http://schemas.openxmlformats.org/officeDocument/2006/relationships" ref="E21" r:id="rId2"/>
  </hyperlinks>
  <pageMargins left="0.7" right="0.7" top="0.75" bottom="0.75" header="0.3" footer="0.3"/>
  <pageSetup orientation="portrait" scale="44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topLeftCell="A4" zoomScale="70" zoomScaleNormal="70" workbookViewId="0">
      <pane xSplit="3" ySplit="2" topLeftCell="D6" activePane="bottomRight" state="frozen"/>
      <selection activeCell="A77" sqref="A77:E77"/>
      <selection pane="topRight" activeCell="A77" sqref="A77:E77"/>
      <selection pane="bottomLeft" activeCell="A77" sqref="A77:E77"/>
      <selection pane="bottomRight" activeCell="G17" sqref="G17"/>
    </sheetView>
  </sheetViews>
  <sheetFormatPr baseColWidth="8" defaultColWidth="9.140625" defaultRowHeight="14.25"/>
  <cols>
    <col width="9.140625" customWidth="1" style="778" min="1" max="1"/>
    <col width="54.42578125" bestFit="1" customWidth="1" style="778" min="2" max="2"/>
    <col width="19.85546875" bestFit="1" customWidth="1" style="778" min="3" max="3"/>
    <col width="18" customWidth="1" style="778" min="4" max="4"/>
    <col width="22.5703125" customWidth="1" style="778" min="5" max="5"/>
    <col width="18.7109375" customWidth="1" style="778" min="6" max="6"/>
    <col width="24.42578125" customWidth="1" style="778" min="7" max="7"/>
    <col width="24.85546875" customWidth="1" style="778" min="8" max="8"/>
    <col width="9.140625" customWidth="1" style="778" min="9" max="9"/>
    <col width="14.42578125" customWidth="1" style="778" min="10" max="10"/>
    <col width="19.85546875" bestFit="1" customWidth="1" style="778" min="11" max="11"/>
    <col width="15.140625" bestFit="1" customWidth="1" style="778" min="12" max="12"/>
    <col width="9.140625" customWidth="1" style="778" min="13" max="16384"/>
  </cols>
  <sheetData>
    <row r="1" ht="14.25" customHeight="1">
      <c r="A1" s="963" t="inlineStr">
        <is>
          <t>Sun Realty -SUN SILVER SPRING</t>
        </is>
      </c>
      <c r="B1" s="964" t="n"/>
      <c r="C1" s="964" t="n"/>
      <c r="D1" s="964" t="n"/>
      <c r="E1" s="964" t="n"/>
      <c r="F1" s="964" t="n"/>
      <c r="G1" s="964" t="n"/>
      <c r="H1" s="964" t="n"/>
      <c r="I1" s="964" t="n"/>
      <c r="J1" s="964" t="n"/>
      <c r="K1" s="965" t="n"/>
    </row>
    <row r="2" ht="14.25" customHeight="1">
      <c r="A2" s="966" t="n"/>
      <c r="K2" s="967" t="n"/>
    </row>
    <row r="3" ht="15" customHeight="1" thickBot="1">
      <c r="A3" s="968" t="n"/>
      <c r="B3" s="969" t="n"/>
      <c r="C3" s="969" t="n"/>
      <c r="D3" s="969" t="n"/>
      <c r="E3" s="969" t="n"/>
      <c r="F3" s="969" t="n"/>
      <c r="G3" s="969" t="n"/>
      <c r="H3" s="969" t="n"/>
      <c r="I3" s="969" t="n"/>
      <c r="J3" s="969" t="n"/>
      <c r="K3" s="970" t="n"/>
    </row>
    <row r="4" ht="18.75" customHeight="1" thickBot="1">
      <c r="A4" s="1261" t="inlineStr">
        <is>
          <t>CALCULATION For the month of APR-25 TO DEC-25</t>
        </is>
      </c>
      <c r="B4" s="972" t="n"/>
      <c r="C4" s="972" t="n"/>
      <c r="D4" s="972" t="n"/>
      <c r="E4" s="972" t="n"/>
      <c r="F4" s="972" t="n"/>
      <c r="G4" s="972" t="n"/>
      <c r="H4" s="972" t="n"/>
      <c r="I4" s="972" t="n"/>
      <c r="J4" s="972" t="n"/>
      <c r="K4" s="973" t="n"/>
    </row>
    <row r="5" ht="20.25" customHeight="1" thickBot="1">
      <c r="A5" s="1262" t="inlineStr">
        <is>
          <t>FLATE MEMBERS COLLECTION @ 5%</t>
        </is>
      </c>
      <c r="B5" s="969" t="n"/>
      <c r="C5" s="969" t="n"/>
      <c r="D5" s="969" t="n"/>
      <c r="E5" s="969" t="n"/>
      <c r="F5" s="969" t="n"/>
      <c r="G5" s="969" t="n"/>
      <c r="H5" s="969" t="n"/>
      <c r="I5" s="1263" t="n"/>
    </row>
    <row r="6" ht="15" customHeight="1">
      <c r="A6" s="1264" t="inlineStr">
        <is>
          <t>Flat No.</t>
        </is>
      </c>
      <c r="B6" s="1265" t="inlineStr">
        <is>
          <t>Name of Owner</t>
        </is>
      </c>
      <c r="C6" s="1264" t="inlineStr">
        <is>
          <t>CR SIDE</t>
        </is>
      </c>
      <c r="D6" s="1266" t="inlineStr">
        <is>
          <t>Receipt of Registration Fees</t>
        </is>
      </c>
      <c r="E6" s="1266" t="inlineStr">
        <is>
          <t>Payment of Reg Fees on Behalf of Client</t>
        </is>
      </c>
      <c r="F6" s="1266" t="inlineStr">
        <is>
          <t>Receipt of Stamp Duty/JV (Cr)</t>
        </is>
      </c>
      <c r="G6" s="1266" t="inlineStr">
        <is>
          <t>Payment of Stamp Duty/JV (Cr)</t>
        </is>
      </c>
      <c r="H6" s="1266" t="inlineStr">
        <is>
          <t>REFUND OF SAME PEROID</t>
        </is>
      </c>
      <c r="I6" s="913" t="n"/>
      <c r="J6" s="1266" t="inlineStr">
        <is>
          <t>REFUND WITHOUT GST</t>
        </is>
      </c>
      <c r="K6" s="1266" t="inlineStr">
        <is>
          <t>NET RECEIPT</t>
        </is>
      </c>
    </row>
    <row r="7" ht="31.5" customHeight="1" thickBot="1">
      <c r="A7" s="979" t="n"/>
      <c r="B7" s="969" t="n"/>
      <c r="C7" s="979" t="n"/>
      <c r="D7" s="979" t="n"/>
      <c r="E7" s="979" t="n"/>
      <c r="F7" s="979" t="n"/>
      <c r="G7" s="979" t="n"/>
      <c r="H7" s="979" t="n"/>
      <c r="I7" s="914" t="n"/>
      <c r="J7" s="979" t="n"/>
      <c r="K7" s="979" t="n"/>
      <c r="L7" s="778" t="inlineStr">
        <is>
          <t>GST</t>
        </is>
      </c>
    </row>
    <row r="8" ht="18" customHeight="1">
      <c r="A8" s="780" t="n"/>
      <c r="B8" s="781" t="n"/>
      <c r="C8" s="782" t="n"/>
      <c r="D8" s="783" t="n"/>
      <c r="E8" s="1267" t="n"/>
      <c r="F8" s="783" t="n"/>
      <c r="G8" s="783" t="n"/>
      <c r="H8" s="783" t="n"/>
      <c r="I8" s="783" t="n"/>
      <c r="J8" s="783" t="n"/>
      <c r="K8" s="1268">
        <f>C8-D8-F8</f>
        <v/>
      </c>
      <c r="L8" s="785">
        <f>K8*2.5/100</f>
        <v/>
      </c>
    </row>
    <row r="9" ht="15" customHeight="1">
      <c r="A9" s="780" t="n"/>
      <c r="B9" s="781" t="n"/>
      <c r="C9" s="782" t="n"/>
      <c r="D9" s="783" t="n"/>
      <c r="E9" s="1268" t="n"/>
      <c r="F9" s="783" t="n"/>
      <c r="G9" s="783" t="n"/>
      <c r="H9" s="783" t="n"/>
      <c r="I9" s="783" t="n"/>
      <c r="J9" s="783" t="n"/>
      <c r="K9" s="1268">
        <f>C9-D9-F9</f>
        <v/>
      </c>
      <c r="L9" s="785">
        <f>K9*2.5/100</f>
        <v/>
      </c>
    </row>
    <row r="10" ht="18" customHeight="1">
      <c r="A10" s="780" t="n"/>
      <c r="B10" s="781" t="n"/>
      <c r="C10" s="782" t="n"/>
      <c r="D10" s="783" t="n"/>
      <c r="E10" s="1267" t="n"/>
      <c r="F10" s="783" t="n"/>
      <c r="G10" s="783" t="n"/>
      <c r="H10" s="783" t="n"/>
      <c r="I10" s="783" t="n"/>
      <c r="J10" s="783" t="n"/>
      <c r="K10" s="1268">
        <f>C10-D10-F10</f>
        <v/>
      </c>
      <c r="L10" s="785">
        <f>K10*2.5/100</f>
        <v/>
      </c>
    </row>
    <row r="11" ht="18" customHeight="1">
      <c r="A11" s="780" t="n"/>
      <c r="B11" s="781" t="n"/>
      <c r="C11" s="782" t="n"/>
      <c r="D11" s="783" t="n"/>
      <c r="E11" s="1267" t="n"/>
      <c r="F11" s="783" t="n"/>
      <c r="G11" s="783" t="n"/>
      <c r="H11" s="783" t="n"/>
      <c r="I11" s="783" t="n"/>
      <c r="J11" s="783" t="n"/>
      <c r="K11" s="1268">
        <f>C11-D11-F11</f>
        <v/>
      </c>
      <c r="L11" s="785">
        <f>K11*2.5/100</f>
        <v/>
      </c>
    </row>
    <row r="12" ht="18" customHeight="1">
      <c r="A12" s="780" t="n"/>
      <c r="B12" s="781" t="n"/>
      <c r="C12" s="782" t="n"/>
      <c r="D12" s="783" t="n"/>
      <c r="E12" s="1267" t="n"/>
      <c r="F12" s="783" t="n"/>
      <c r="G12" s="783" t="n"/>
      <c r="H12" s="783" t="n"/>
      <c r="I12" s="783" t="n"/>
      <c r="J12" s="783" t="n"/>
      <c r="K12" s="1268">
        <f>C12-D12-F12</f>
        <v/>
      </c>
      <c r="L12" s="785">
        <f>K12*2.5/100</f>
        <v/>
      </c>
    </row>
    <row r="13" ht="18" customHeight="1">
      <c r="A13" s="780" t="n"/>
      <c r="B13" s="781" t="n"/>
      <c r="C13" s="782" t="n"/>
      <c r="D13" s="783" t="n"/>
      <c r="E13" s="1267" t="n"/>
      <c r="F13" s="783" t="n"/>
      <c r="G13" s="783" t="n"/>
      <c r="H13" s="783" t="n"/>
      <c r="I13" s="783" t="n"/>
      <c r="J13" s="783" t="n"/>
      <c r="K13" s="1268">
        <f>C13-D13-F13</f>
        <v/>
      </c>
      <c r="L13" s="785">
        <f>K13*2.5/100</f>
        <v/>
      </c>
    </row>
    <row r="14" ht="18" customHeight="1">
      <c r="A14" s="780" t="n"/>
      <c r="B14" s="781" t="n"/>
      <c r="C14" s="782" t="n"/>
      <c r="D14" s="783" t="n"/>
      <c r="E14" s="1267" t="n"/>
      <c r="F14" s="783" t="n"/>
      <c r="G14" s="783" t="n"/>
      <c r="H14" s="783" t="n"/>
      <c r="I14" s="783" t="n"/>
      <c r="J14" s="783" t="n"/>
      <c r="K14" s="1268">
        <f>C14-D14-F14</f>
        <v/>
      </c>
      <c r="L14" s="785">
        <f>K14*2.5/100</f>
        <v/>
      </c>
    </row>
    <row r="15" ht="18" customHeight="1">
      <c r="A15" s="786" t="n"/>
      <c r="B15" s="787" t="n"/>
      <c r="C15" s="788" t="n"/>
      <c r="D15" s="1267" t="n"/>
      <c r="E15" s="1267" t="n"/>
      <c r="F15" s="1267" t="n"/>
      <c r="G15" s="1267" t="n"/>
      <c r="H15" s="1267" t="n"/>
      <c r="I15" s="1267" t="n"/>
      <c r="J15" s="1267" t="n"/>
      <c r="K15" s="1268">
        <f>C15-D15-F15</f>
        <v/>
      </c>
      <c r="L15" s="785">
        <f>K15*2.5/100</f>
        <v/>
      </c>
    </row>
    <row r="16" ht="15.75" customHeight="1">
      <c r="A16" s="775" t="n"/>
      <c r="B16" s="773" t="n"/>
      <c r="C16" s="1269" t="n"/>
      <c r="D16" s="1268" t="n"/>
      <c r="E16" s="1268" t="n"/>
      <c r="F16" s="1268" t="n"/>
      <c r="G16" s="1268" t="n"/>
      <c r="H16" s="1268" t="n"/>
      <c r="I16" s="1270" t="n"/>
      <c r="J16" s="1270" t="n"/>
      <c r="K16" s="1268">
        <f>C16-D16-F16</f>
        <v/>
      </c>
      <c r="L16" s="785">
        <f>K16*2.5/100</f>
        <v/>
      </c>
    </row>
    <row r="17" ht="18" customHeight="1">
      <c r="A17" s="775" t="n"/>
      <c r="B17" s="773" t="n"/>
      <c r="C17" s="1269" t="n"/>
      <c r="D17" s="1267" t="n"/>
      <c r="E17" s="1267" t="n"/>
      <c r="F17" s="1267" t="n"/>
      <c r="G17" s="1267" t="n"/>
      <c r="H17" s="1267" t="n"/>
      <c r="I17" s="1267" t="n"/>
      <c r="J17" s="1267" t="n"/>
      <c r="K17" s="1268">
        <f>C17-D17-F17</f>
        <v/>
      </c>
      <c r="L17" s="785">
        <f>K17*2.5/100</f>
        <v/>
      </c>
    </row>
    <row r="18" ht="18" customHeight="1">
      <c r="A18" s="775" t="n"/>
      <c r="B18" s="773" t="n"/>
      <c r="C18" s="1269" t="n"/>
      <c r="D18" s="1267" t="n"/>
      <c r="E18" s="1267" t="n"/>
      <c r="F18" s="1267" t="n"/>
      <c r="G18" s="1267" t="n"/>
      <c r="H18" s="1267" t="n"/>
      <c r="I18" s="1267" t="n"/>
      <c r="J18" s="1267" t="n"/>
      <c r="K18" s="1268">
        <f>C18-D18-F18</f>
        <v/>
      </c>
      <c r="L18" s="785">
        <f>K18*2.5/100</f>
        <v/>
      </c>
    </row>
    <row r="19" ht="18" customHeight="1">
      <c r="A19" s="775" t="n"/>
      <c r="B19" s="773" t="n"/>
      <c r="C19" s="1271" t="n"/>
      <c r="D19" s="1267" t="n"/>
      <c r="E19" s="1267" t="n"/>
      <c r="F19" s="1267" t="n"/>
      <c r="G19" s="1267" t="n"/>
      <c r="H19" s="1268" t="n"/>
      <c r="I19" s="1267" t="n"/>
      <c r="J19" s="1267" t="n"/>
      <c r="K19" s="1268">
        <f>C19-D19-F19</f>
        <v/>
      </c>
      <c r="L19" s="785">
        <f>K19*2.5/100</f>
        <v/>
      </c>
    </row>
    <row r="20" ht="18.75" customHeight="1" thickBot="1">
      <c r="A20" s="789" t="n"/>
      <c r="B20" s="790" t="n"/>
      <c r="C20" s="1271" t="n"/>
      <c r="D20" s="1267" t="n"/>
      <c r="E20" s="1267" t="n"/>
      <c r="F20" s="1267" t="n"/>
      <c r="G20" s="1267" t="n"/>
      <c r="H20" s="1267" t="n"/>
      <c r="I20" s="1267" t="n"/>
      <c r="J20" s="1267" t="n"/>
      <c r="K20" s="1271">
        <f>C20-D20</f>
        <v/>
      </c>
      <c r="L20" s="785">
        <f>K20*2.5/100</f>
        <v/>
      </c>
    </row>
    <row r="21" ht="18.75" customHeight="1" thickBot="1">
      <c r="A21" s="915" t="inlineStr">
        <is>
          <t>Total</t>
        </is>
      </c>
      <c r="B21" s="972" t="n"/>
      <c r="C21" s="1272">
        <f>SUM(C8:C20)</f>
        <v/>
      </c>
      <c r="D21" s="1272">
        <f>SUM(D8:D20)</f>
        <v/>
      </c>
      <c r="E21" s="1272">
        <f>SUM(E8:E20)</f>
        <v/>
      </c>
      <c r="F21" s="1272">
        <f>SUM(F8:F20)</f>
        <v/>
      </c>
      <c r="G21" s="1272">
        <f>SUM(G8:G20)</f>
        <v/>
      </c>
      <c r="H21" s="1272">
        <f>SUM(H8:H20)</f>
        <v/>
      </c>
      <c r="I21" s="1272" t="n"/>
      <c r="J21" s="1272">
        <f>SUM(J8:J20)</f>
        <v/>
      </c>
      <c r="K21" s="1272">
        <f>SUM(K8:K20)</f>
        <v/>
      </c>
    </row>
  </sheetData>
  <mergeCells count="14">
    <mergeCell ref="A1:K3"/>
    <mergeCell ref="A21:B21"/>
    <mergeCell ref="A4:K4"/>
    <mergeCell ref="A6:A7"/>
    <mergeCell ref="H6:H7"/>
    <mergeCell ref="G6:G7"/>
    <mergeCell ref="K6:K7"/>
    <mergeCell ref="J6:J7"/>
    <mergeCell ref="E6:E7"/>
    <mergeCell ref="C6:C7"/>
    <mergeCell ref="A5:H5"/>
    <mergeCell ref="D6:D7"/>
    <mergeCell ref="B6:B7"/>
    <mergeCell ref="F6:F7"/>
  </mergeCells>
  <conditionalFormatting sqref="B5:B21">
    <cfRule type="duplicateValues" priority="2" dxfId="0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8"/>
  <sheetViews>
    <sheetView topLeftCell="A44" workbookViewId="0">
      <selection activeCell="B33" sqref="B33"/>
    </sheetView>
  </sheetViews>
  <sheetFormatPr baseColWidth="8" defaultRowHeight="15"/>
  <cols>
    <col width="49.28515625" bestFit="1" customWidth="1" min="1" max="1"/>
    <col width="15.140625" bestFit="1" customWidth="1" min="2" max="2"/>
    <col width="20.7109375" bestFit="1" customWidth="1" min="3" max="3"/>
    <col width="13.85546875" bestFit="1" customWidth="1" min="4" max="4"/>
    <col width="11.7109375" bestFit="1" customWidth="1" min="5" max="6"/>
  </cols>
  <sheetData>
    <row r="1" ht="36" customHeight="1" thickBot="1">
      <c r="A1" s="573" t="inlineStr">
        <is>
          <t>Sun Realty -SUN SILVER SPRING</t>
        </is>
      </c>
      <c r="B1" s="574" t="n"/>
      <c r="C1" s="574" t="n"/>
      <c r="D1" s="574" t="n"/>
      <c r="E1" s="574" t="n"/>
      <c r="F1" s="574" t="n"/>
      <c r="G1" s="574" t="n"/>
      <c r="H1" s="575" t="n"/>
      <c r="I1" s="1" t="n"/>
      <c r="J1" s="1" t="n"/>
      <c r="K1" s="1" t="n"/>
      <c r="L1" s="1" t="n"/>
      <c r="M1" s="1" t="n"/>
    </row>
    <row r="2" ht="15.75" customHeight="1" thickBot="1">
      <c r="A2" s="1203" t="inlineStr">
        <is>
          <t xml:space="preserve">                      GST PAYABLE ON COMMERCIAL CONSTRUCTION  FOR THE MONTH OF AUG-26</t>
        </is>
      </c>
      <c r="B2" s="1204" t="n"/>
      <c r="C2" s="1204" t="n"/>
      <c r="D2" s="1204" t="n"/>
      <c r="E2" s="1204" t="n"/>
      <c r="F2" s="1204" t="n"/>
      <c r="G2" s="1204" t="n"/>
      <c r="H2" s="1205" t="n"/>
      <c r="I2" s="1" t="n"/>
      <c r="J2" s="1" t="n"/>
      <c r="K2" s="1" t="n"/>
      <c r="L2" s="1" t="n"/>
      <c r="M2" s="1" t="n"/>
    </row>
    <row r="3" ht="15.75" customHeight="1" thickBo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15.75" customHeight="1" thickBot="1">
      <c r="A4" s="1057" t="inlineStr">
        <is>
          <t>Supply</t>
        </is>
      </c>
      <c r="B4" s="1057" t="inlineStr">
        <is>
          <t>AMOUNT</t>
        </is>
      </c>
      <c r="C4" s="1057" t="inlineStr">
        <is>
          <t>RATE</t>
        </is>
      </c>
      <c r="D4" s="1057" t="inlineStr">
        <is>
          <t xml:space="preserve">CGST </t>
        </is>
      </c>
      <c r="E4" s="1057" t="inlineStr">
        <is>
          <t>SGST</t>
        </is>
      </c>
      <c r="F4" s="1245" t="inlineStr">
        <is>
          <t>TOTAL</t>
        </is>
      </c>
      <c r="G4" s="1" t="n"/>
      <c r="H4" s="1" t="n"/>
      <c r="I4" s="1" t="n"/>
      <c r="J4" s="1" t="n"/>
      <c r="K4" s="1" t="n"/>
      <c r="L4" s="1" t="n"/>
      <c r="M4" s="1" t="n"/>
    </row>
    <row r="5">
      <c r="A5" s="1246" t="n"/>
      <c r="B5" s="1247" t="n"/>
      <c r="C5" s="1248" t="n"/>
      <c r="D5" s="1248" t="n"/>
      <c r="E5" s="1248" t="n"/>
      <c r="F5" s="1249" t="n"/>
      <c r="G5" s="1" t="n"/>
      <c r="H5" s="1" t="n"/>
      <c r="I5" s="1" t="n"/>
      <c r="J5" s="1" t="n"/>
      <c r="K5" s="1" t="n"/>
      <c r="L5" s="1" t="n"/>
      <c r="M5" s="1" t="n"/>
    </row>
    <row r="6">
      <c r="A6" s="1121" t="n"/>
      <c r="B6" s="1122" t="n"/>
      <c r="C6" s="602" t="n"/>
      <c r="D6" s="1206" t="n"/>
      <c r="E6" s="1206" t="n"/>
      <c r="F6" s="1207" t="n"/>
      <c r="G6" s="1" t="n"/>
      <c r="H6" s="1" t="n"/>
      <c r="I6" s="1007" t="n"/>
      <c r="J6" s="1" t="n"/>
      <c r="K6" s="1" t="n"/>
      <c r="L6" s="1" t="n"/>
      <c r="M6" s="1" t="n"/>
    </row>
    <row r="7">
      <c r="A7" s="1121" t="inlineStr">
        <is>
          <t>SUN REALTY -SUN SILVER SPRING RESIDENTIAL</t>
        </is>
      </c>
      <c r="B7" s="1122">
        <f>+'SUN SILVER SPRING-MEMBER COLL'!K21</f>
        <v/>
      </c>
      <c r="C7" s="602" t="n">
        <v>0.05</v>
      </c>
      <c r="D7" s="1206">
        <f>B7*C7/2</f>
        <v/>
      </c>
      <c r="E7" s="1206">
        <f>B7*C7/2</f>
        <v/>
      </c>
      <c r="F7" s="1207">
        <f>+D7+E7</f>
        <v/>
      </c>
      <c r="G7" s="1" t="n"/>
      <c r="H7" s="330" t="n"/>
      <c r="I7" s="1125" t="n"/>
      <c r="J7" s="1" t="n"/>
      <c r="K7" s="1" t="n"/>
      <c r="L7" s="1" t="n"/>
      <c r="M7" s="1" t="n"/>
    </row>
    <row r="8" ht="31.5" customHeight="1">
      <c r="A8" s="1124" t="n"/>
      <c r="B8" s="1122" t="n">
        <v>0</v>
      </c>
      <c r="C8" s="602" t="n">
        <v>0.05</v>
      </c>
      <c r="D8" s="1206">
        <f>B8*C8/2</f>
        <v/>
      </c>
      <c r="E8" s="1206">
        <f>B8*C8/2</f>
        <v/>
      </c>
      <c r="F8" s="1207">
        <f>+D8+E8</f>
        <v/>
      </c>
      <c r="G8" s="1" t="n"/>
      <c r="H8" s="1" t="n"/>
      <c r="I8" s="1" t="n"/>
      <c r="J8" s="1" t="n"/>
      <c r="K8" s="1" t="n"/>
      <c r="L8" s="1" t="n"/>
      <c r="M8" s="1" t="n"/>
    </row>
    <row r="9">
      <c r="A9" s="1121" t="inlineStr">
        <is>
          <t xml:space="preserve">Less : Refund </t>
        </is>
      </c>
      <c r="B9" s="1122">
        <f>-'SUN SILVER SPRING-MEMBER COLL'!H21</f>
        <v/>
      </c>
      <c r="C9" s="602" t="n">
        <v>0.05</v>
      </c>
      <c r="D9" s="1206">
        <f>B9*C9/2</f>
        <v/>
      </c>
      <c r="E9" s="1206">
        <f>B9*C9/2</f>
        <v/>
      </c>
      <c r="F9" s="1207">
        <f>+D9+E9</f>
        <v/>
      </c>
      <c r="G9" s="1" t="n"/>
      <c r="H9" s="1" t="n"/>
      <c r="I9" s="1" t="n"/>
      <c r="J9" s="1" t="n"/>
      <c r="K9" s="1" t="n"/>
      <c r="L9" s="1" t="n"/>
      <c r="M9" s="1" t="n"/>
    </row>
    <row r="10">
      <c r="A10" s="1121" t="n"/>
      <c r="B10" s="1122" t="n"/>
      <c r="C10" s="602" t="n"/>
      <c r="D10" s="1206" t="n"/>
      <c r="E10" s="1206" t="n"/>
      <c r="F10" s="1207" t="n"/>
      <c r="G10" s="1007" t="n"/>
      <c r="H10" s="1007" t="n"/>
      <c r="I10" s="1" t="n"/>
      <c r="J10" s="1" t="n"/>
      <c r="K10" s="1" t="n"/>
      <c r="L10" s="1" t="n"/>
      <c r="M10" s="1" t="n"/>
    </row>
    <row r="11">
      <c r="A11" s="1121" t="inlineStr">
        <is>
          <t>SUN REALTY -SUN PARK WEST COMMERCIAL</t>
        </is>
      </c>
      <c r="B11" s="1122" t="n"/>
      <c r="C11" s="602" t="n">
        <v>0.05</v>
      </c>
      <c r="D11" s="1206">
        <f>B11*C11/2</f>
        <v/>
      </c>
      <c r="E11" s="1206">
        <f>B11*C11/2</f>
        <v/>
      </c>
      <c r="F11" s="1207">
        <f>+D11+E11</f>
        <v/>
      </c>
      <c r="G11" s="1007" t="n"/>
      <c r="H11" s="1007" t="n"/>
      <c r="I11" s="1" t="n"/>
      <c r="J11" s="1" t="n"/>
      <c r="K11" s="1" t="n"/>
      <c r="L11" s="1" t="n"/>
      <c r="M11" s="1" t="n"/>
    </row>
    <row r="12">
      <c r="A12" s="1121" t="inlineStr">
        <is>
          <t xml:space="preserve">Less : Refund </t>
        </is>
      </c>
      <c r="B12" s="1122" t="n"/>
      <c r="C12" s="602" t="n">
        <v>0.05</v>
      </c>
      <c r="D12" s="1206">
        <f>B12*C12/2</f>
        <v/>
      </c>
      <c r="E12" s="1206">
        <f>B12*C12/2</f>
        <v/>
      </c>
      <c r="F12" s="1207">
        <f>+D12+E12</f>
        <v/>
      </c>
      <c r="G12" s="1007" t="n"/>
      <c r="H12" s="1" t="n"/>
      <c r="I12" s="1" t="n"/>
      <c r="J12" s="1" t="n"/>
      <c r="K12" s="1" t="n"/>
      <c r="L12" s="1" t="n"/>
      <c r="M12" s="1" t="n"/>
    </row>
    <row r="13" ht="15.75" customHeight="1" thickBot="1">
      <c r="A13" s="1137" t="n"/>
      <c r="B13" s="1138" t="n"/>
      <c r="C13" s="613" t="n"/>
      <c r="D13" s="1251" t="n"/>
      <c r="E13" s="1251" t="n"/>
      <c r="F13" s="1252" t="n"/>
      <c r="G13" s="1" t="n"/>
      <c r="H13" s="1" t="n"/>
      <c r="I13" s="1" t="n"/>
      <c r="J13" s="1" t="n"/>
      <c r="K13" s="1" t="n"/>
      <c r="L13" s="1" t="n"/>
      <c r="M13" s="1" t="n"/>
    </row>
    <row r="14" ht="15.75" customHeight="1" thickBot="1">
      <c r="A14" s="1082" t="inlineStr">
        <is>
          <t>TOTAL</t>
        </is>
      </c>
      <c r="B14" s="1182">
        <f>SUM(B6:B12)</f>
        <v/>
      </c>
      <c r="C14" s="1182" t="n"/>
      <c r="D14" s="1182">
        <f>SUM(D6:D12)</f>
        <v/>
      </c>
      <c r="E14" s="1182">
        <f>SUM(E6:E12)</f>
        <v/>
      </c>
      <c r="F14" s="1182">
        <f>SUM(F6:F12)</f>
        <v/>
      </c>
      <c r="G14" s="1007" t="n"/>
      <c r="H14" s="1007" t="n"/>
      <c r="I14" s="1" t="n"/>
      <c r="J14" s="1" t="n"/>
      <c r="K14" s="1" t="n"/>
      <c r="L14" s="1" t="n"/>
      <c r="M14" s="1" t="n"/>
    </row>
    <row r="15" ht="15.7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 ht="15.75" customHeight="1" thickBot="1">
      <c r="A16" s="1082" t="inlineStr">
        <is>
          <t xml:space="preserve">                  GST PAYABLE UNDER RCM FOR THE MONTH OF AUG-26</t>
        </is>
      </c>
      <c r="B16" s="972" t="n"/>
      <c r="C16" s="972" t="n"/>
      <c r="D16" s="972" t="n"/>
      <c r="E16" s="972" t="n"/>
      <c r="F16" s="973" t="n"/>
      <c r="G16" s="1016" t="n"/>
      <c r="H16" s="1016" t="n"/>
      <c r="I16" s="1" t="n"/>
      <c r="J16" s="1" t="n"/>
      <c r="K16" s="1" t="n"/>
      <c r="L16" s="1" t="n"/>
      <c r="M16" s="1" t="n"/>
    </row>
    <row r="17" ht="15.75" customHeight="1" thickBot="1">
      <c r="A17" s="991" t="inlineStr">
        <is>
          <t>.</t>
        </is>
      </c>
      <c r="B17" s="1034" t="n"/>
      <c r="I17" s="1" t="n"/>
      <c r="J17" s="1" t="n"/>
      <c r="K17" s="1" t="n"/>
      <c r="L17" s="1" t="n"/>
      <c r="M17" s="1" t="n"/>
    </row>
    <row r="18" ht="15.75" customHeight="1" thickBot="1">
      <c r="A18" s="1057" t="inlineStr">
        <is>
          <t>Service</t>
        </is>
      </c>
      <c r="B18" s="1057" t="inlineStr">
        <is>
          <t>AMOUNT</t>
        </is>
      </c>
      <c r="C18" s="1057" t="inlineStr">
        <is>
          <t>RATE</t>
        </is>
      </c>
      <c r="D18" s="1057" t="inlineStr">
        <is>
          <t>CGST</t>
        </is>
      </c>
      <c r="E18" s="1057" t="inlineStr">
        <is>
          <t>SGST</t>
        </is>
      </c>
      <c r="F18" s="1057" t="inlineStr">
        <is>
          <t>TOTAL</t>
        </is>
      </c>
      <c r="G18" s="1" t="n"/>
      <c r="H18" s="1" t="n"/>
      <c r="I18" s="1" t="n"/>
      <c r="J18" s="1" t="n"/>
      <c r="K18" s="1" t="n"/>
      <c r="L18" s="1" t="n"/>
      <c r="M18" s="1" t="n"/>
    </row>
    <row r="19">
      <c r="A19" s="1215" t="n"/>
      <c r="B19" s="1256" t="n"/>
      <c r="C19" s="663" t="n"/>
      <c r="D19" s="1005" t="n"/>
      <c r="E19" s="1005" t="n"/>
      <c r="F19" s="1006" t="n"/>
      <c r="G19" s="1" t="n"/>
      <c r="H19" s="1" t="n"/>
      <c r="I19" s="1" t="n"/>
      <c r="J19" s="1" t="n"/>
      <c r="K19" s="1" t="n"/>
      <c r="L19" s="1" t="n"/>
      <c r="M19" s="1" t="n"/>
    </row>
    <row r="20">
      <c r="A20" s="1190" t="inlineStr">
        <is>
          <t>SUN REALTY-SUN SILVER SPRING</t>
        </is>
      </c>
      <c r="B20" s="1183" t="n"/>
      <c r="C20" s="734" t="n"/>
      <c r="D20" s="982" t="n"/>
      <c r="E20" s="982" t="n"/>
      <c r="F20" s="1092" t="n"/>
      <c r="G20" s="1" t="n"/>
      <c r="H20" s="1" t="n"/>
      <c r="I20" s="1" t="n"/>
      <c r="J20" s="1" t="n"/>
      <c r="K20" s="1" t="n"/>
      <c r="L20" s="1" t="n"/>
      <c r="M20" s="1" t="n"/>
    </row>
    <row r="21">
      <c r="A21" s="1216" t="inlineStr">
        <is>
          <t>Advocate fees</t>
        </is>
      </c>
      <c r="B21" s="1183" t="n">
        <v>0</v>
      </c>
      <c r="C21" s="602" t="n">
        <v>0.18</v>
      </c>
      <c r="D21" s="1206">
        <f>+B21*9/100</f>
        <v/>
      </c>
      <c r="E21" s="1206">
        <f>+D21</f>
        <v/>
      </c>
      <c r="F21" s="1207">
        <f>+D21+E21</f>
        <v/>
      </c>
      <c r="G21" s="1" t="n"/>
      <c r="H21" s="1" t="n"/>
      <c r="I21" s="1" t="n"/>
      <c r="J21" s="1" t="n"/>
      <c r="K21" s="1" t="n"/>
      <c r="L21" s="1" t="n"/>
      <c r="M21" s="1" t="n"/>
    </row>
    <row r="22" ht="30" customHeight="1">
      <c r="A22" s="1257" t="inlineStr">
        <is>
          <t>Carting and Transportation (Gayatri Sales Corp)/ SHAKTI TRANSPORT</t>
        </is>
      </c>
      <c r="B22" s="1183" t="n"/>
      <c r="C22" s="602" t="n">
        <v>0.05</v>
      </c>
      <c r="D22" s="1206">
        <f>+B22*0.025</f>
        <v/>
      </c>
      <c r="E22" s="1206">
        <f>+D22</f>
        <v/>
      </c>
      <c r="F22" s="1207">
        <f>+D22+E22</f>
        <v/>
      </c>
      <c r="G22" s="1" t="n"/>
      <c r="H22" s="1" t="n"/>
      <c r="I22" s="1" t="n"/>
      <c r="J22" s="1" t="n"/>
      <c r="K22" s="1" t="n"/>
      <c r="L22" s="1" t="n"/>
      <c r="M22" s="1" t="n"/>
    </row>
    <row r="23">
      <c r="A23" s="1216" t="inlineStr">
        <is>
          <t>Security Services (AUG-25 TO AUG-26)</t>
        </is>
      </c>
      <c r="B23" s="1183" t="n"/>
      <c r="C23" s="602" t="n">
        <v>0.18</v>
      </c>
      <c r="D23" s="1206">
        <f>+B23*9%</f>
        <v/>
      </c>
      <c r="E23" s="1206">
        <f>+B23*9%</f>
        <v/>
      </c>
      <c r="F23" s="1207">
        <f>SUM(D23:E23)</f>
        <v/>
      </c>
      <c r="G23" s="1" t="n"/>
      <c r="H23" s="1" t="n"/>
      <c r="I23" s="1" t="n"/>
      <c r="J23" s="1" t="n"/>
      <c r="K23" s="1" t="n"/>
      <c r="L23" s="1" t="n"/>
      <c r="M23" s="1" t="n"/>
    </row>
    <row r="24">
      <c r="A24" s="1216" t="inlineStr">
        <is>
          <t>Sponsorship Exp</t>
        </is>
      </c>
      <c r="B24" s="1183" t="n"/>
      <c r="C24" s="602" t="n">
        <v>0.18</v>
      </c>
      <c r="D24" s="1206">
        <f>+B24*9%</f>
        <v/>
      </c>
      <c r="E24" s="1206">
        <f>+B24*9%</f>
        <v/>
      </c>
      <c r="F24" s="1207">
        <f>SUM(D24:E24)</f>
        <v/>
      </c>
      <c r="G24" s="909" t="n"/>
    </row>
    <row r="25" ht="15.75" customHeight="1" thickBot="1">
      <c r="A25" s="1258" t="inlineStr">
        <is>
          <t>Royalty Exp.</t>
        </is>
      </c>
      <c r="B25" s="1185" t="n"/>
      <c r="C25" s="613" t="n">
        <v>0.18</v>
      </c>
      <c r="D25" s="1251">
        <f>+B25*9%</f>
        <v/>
      </c>
      <c r="E25" s="1251">
        <f>+B25*9%</f>
        <v/>
      </c>
      <c r="F25" s="1252">
        <f>SUM(D25:E25)</f>
        <v/>
      </c>
      <c r="G25" s="1" t="n"/>
      <c r="H25" s="1" t="n"/>
      <c r="I25" s="1" t="n"/>
      <c r="J25" s="1" t="n"/>
      <c r="K25" s="1" t="n"/>
      <c r="L25" s="1" t="n"/>
      <c r="M25" s="1" t="n"/>
    </row>
    <row r="26" ht="15.75" customHeight="1" thickBot="1">
      <c r="A26" s="1167" t="inlineStr">
        <is>
          <t>TOTAL</t>
        </is>
      </c>
      <c r="B26" s="1182">
        <f>SUM(B20:B25)</f>
        <v/>
      </c>
      <c r="C26" s="1182" t="n"/>
      <c r="D26" s="1182">
        <f>SUM(D20:D25)</f>
        <v/>
      </c>
      <c r="E26" s="1182">
        <f>SUM(E20:E25)</f>
        <v/>
      </c>
      <c r="F26" s="1182">
        <f>SUM(F20:F25)</f>
        <v/>
      </c>
      <c r="G26" s="1" t="n"/>
      <c r="H26" s="1" t="n"/>
      <c r="I26" s="1" t="n"/>
      <c r="J26" s="1" t="n"/>
      <c r="K26" s="1" t="n"/>
      <c r="L26" s="1" t="n"/>
      <c r="M26" s="1" t="n"/>
    </row>
    <row r="27" ht="15.75" customHeight="1" thickBot="1">
      <c r="A27" s="1056" t="n"/>
      <c r="B27" s="1016" t="n"/>
      <c r="C27" s="1016" t="n"/>
      <c r="D27" s="1016" t="n"/>
      <c r="E27" s="1016" t="n"/>
      <c r="F27" s="1056" t="n"/>
      <c r="G27" s="1016" t="n"/>
      <c r="H27" s="1016" t="n"/>
      <c r="I27" s="1" t="n"/>
      <c r="J27" s="1" t="n"/>
      <c r="K27" s="1" t="n"/>
      <c r="L27" s="1" t="n"/>
      <c r="M27" s="1" t="n"/>
    </row>
    <row r="28" ht="15.75" customHeight="1" thickBot="1">
      <c r="A28" s="1082" t="inlineStr">
        <is>
          <t xml:space="preserve">                    INELIGIBLE CREDIT FOR THE MONTH OF AUG-26</t>
        </is>
      </c>
      <c r="B28" s="972" t="n"/>
      <c r="C28" s="972" t="n"/>
      <c r="D28" s="973" t="n"/>
      <c r="E28" s="1016" t="n"/>
      <c r="F28" s="1016" t="n"/>
      <c r="G28" s="1016" t="n"/>
      <c r="H28" s="1016" t="n"/>
      <c r="I28" s="1" t="n"/>
      <c r="J28" s="1" t="n"/>
      <c r="K28" s="1" t="n"/>
      <c r="L28" s="1" t="n"/>
      <c r="M28" s="1" t="n"/>
    </row>
    <row r="29" ht="15.75" customHeight="1" thickBot="1">
      <c r="A29" s="991" t="n"/>
      <c r="B29" s="991" t="n"/>
      <c r="C29" s="991" t="n"/>
      <c r="D29" s="991" t="n"/>
      <c r="E29" s="991" t="n"/>
      <c r="F29" s="991" t="n"/>
      <c r="G29" s="991" t="n"/>
      <c r="H29" s="991" t="n"/>
      <c r="I29" s="1" t="n"/>
      <c r="J29" s="1" t="n"/>
      <c r="K29" s="1" t="n"/>
      <c r="L29" s="1" t="n"/>
      <c r="M29" s="1" t="n"/>
    </row>
    <row r="30" ht="15.75" customHeight="1" thickBot="1">
      <c r="A30" s="1035" t="inlineStr">
        <is>
          <t>PARTICULARS</t>
        </is>
      </c>
      <c r="B30" s="1057" t="inlineStr">
        <is>
          <t>CGST</t>
        </is>
      </c>
      <c r="C30" s="1057" t="inlineStr">
        <is>
          <t>SGST</t>
        </is>
      </c>
      <c r="D30" s="1057" t="inlineStr">
        <is>
          <t>IGST</t>
        </is>
      </c>
      <c r="E30" s="1034" t="n"/>
      <c r="F30" s="991" t="n"/>
      <c r="G30" s="991" t="n"/>
      <c r="H30" s="991" t="n"/>
      <c r="I30" s="1" t="n"/>
      <c r="J30" s="1" t="n"/>
      <c r="K30" s="1" t="n"/>
      <c r="L30" s="1" t="n"/>
      <c r="M30" s="1" t="n"/>
    </row>
    <row r="31">
      <c r="A31" s="1058" t="n"/>
      <c r="B31" s="1037" t="n"/>
      <c r="C31" s="1059" t="n"/>
      <c r="D31" s="1060" t="n"/>
      <c r="E31" s="1034" t="n"/>
      <c r="F31" s="991" t="n"/>
      <c r="G31" s="991" t="n"/>
      <c r="H31" s="991" t="n"/>
      <c r="I31" s="1" t="n"/>
      <c r="J31" s="1" t="n"/>
      <c r="K31" s="1" t="n"/>
      <c r="L31" s="1" t="n"/>
      <c r="M31" s="1" t="n"/>
    </row>
    <row r="32">
      <c r="A32" s="1061" t="inlineStr">
        <is>
          <t xml:space="preserve"> ITC FOR THE  AUG-26</t>
        </is>
      </c>
      <c r="B32" s="1069" t="n"/>
      <c r="C32" s="1066" t="n"/>
      <c r="D32" s="1067" t="n"/>
      <c r="E32" s="1033" t="n"/>
      <c r="F32" s="991" t="n"/>
      <c r="G32" s="991" t="n"/>
      <c r="H32" s="991" t="n"/>
      <c r="I32" s="1" t="n"/>
      <c r="J32" s="1" t="n"/>
      <c r="K32" s="1" t="n"/>
      <c r="L32" s="1" t="n"/>
      <c r="M32" s="1" t="n"/>
    </row>
    <row r="33">
      <c r="A33" s="1259" t="inlineStr">
        <is>
          <t>Direct Exp.</t>
        </is>
      </c>
      <c r="B33" s="1069" t="n">
        <v>30599.11</v>
      </c>
      <c r="C33" s="1066">
        <f>+B33</f>
        <v/>
      </c>
      <c r="D33" s="1067" t="n">
        <v>0</v>
      </c>
      <c r="E33" s="1033" t="n"/>
      <c r="F33" s="991" t="n"/>
      <c r="G33" s="991" t="n"/>
      <c r="H33" s="991" t="n"/>
      <c r="I33" s="1" t="n"/>
      <c r="J33" s="1" t="n"/>
      <c r="K33" s="1" t="n"/>
      <c r="L33" s="1" t="n"/>
      <c r="M33" s="1" t="n"/>
    </row>
    <row r="34">
      <c r="A34" s="1259" t="inlineStr">
        <is>
          <t>Indirect Exp.</t>
        </is>
      </c>
      <c r="B34" s="1069" t="n">
        <v>0</v>
      </c>
      <c r="C34" s="1066">
        <f>+B34</f>
        <v/>
      </c>
      <c r="D34" s="1067" t="n">
        <v>0</v>
      </c>
      <c r="E34" s="1033" t="n"/>
      <c r="F34" s="991" t="n"/>
      <c r="G34" s="991" t="n"/>
      <c r="H34" s="991" t="n"/>
      <c r="I34" s="1" t="n"/>
      <c r="J34" s="1" t="n"/>
      <c r="K34" s="1" t="n"/>
      <c r="L34" s="1" t="n"/>
      <c r="M34" s="1" t="n"/>
    </row>
    <row r="35">
      <c r="A35" s="1061" t="inlineStr">
        <is>
          <t xml:space="preserve">Add: Ineligible ITC </t>
        </is>
      </c>
      <c r="B35" s="1069" t="n"/>
      <c r="C35" s="1066">
        <f>+B35</f>
        <v/>
      </c>
      <c r="D35" s="1067" t="n"/>
      <c r="E35" s="1033" t="n"/>
      <c r="F35" s="991" t="n"/>
      <c r="G35" s="991" t="n"/>
      <c r="H35" s="991" t="n"/>
      <c r="I35" s="1" t="n"/>
      <c r="J35" s="1" t="n"/>
      <c r="K35" s="1" t="n"/>
      <c r="L35" s="1" t="n"/>
      <c r="M35" s="1" t="n"/>
    </row>
    <row r="36">
      <c r="A36" s="1061" t="inlineStr">
        <is>
          <t>Add: Ineligible ITC  FOR RCM</t>
        </is>
      </c>
      <c r="B36" s="1069">
        <f>+D26</f>
        <v/>
      </c>
      <c r="C36" s="1069">
        <f>+E26</f>
        <v/>
      </c>
      <c r="D36" s="1067" t="n"/>
      <c r="E36" s="1033" t="n"/>
      <c r="F36" s="991" t="n"/>
      <c r="G36" s="991" t="n"/>
      <c r="H36" s="991" t="n"/>
      <c r="I36" s="1" t="n"/>
      <c r="J36" s="1" t="n"/>
      <c r="K36" s="1" t="n"/>
      <c r="L36" s="1" t="n"/>
      <c r="M36" s="1" t="n"/>
    </row>
    <row r="37" ht="15.75" customHeight="1" thickBot="1">
      <c r="A37" s="1071" t="inlineStr">
        <is>
          <t xml:space="preserve">         Total ineligible CENVAYT</t>
        </is>
      </c>
      <c r="B37" s="1072">
        <f>SUM(B32:B36)</f>
        <v/>
      </c>
      <c r="C37" s="1072">
        <f>SUM(C32:C36)</f>
        <v/>
      </c>
      <c r="D37" s="1072">
        <f>SUM(D32:D36)</f>
        <v/>
      </c>
      <c r="E37" s="1033" t="n"/>
      <c r="F37" s="1074" t="n"/>
      <c r="G37" s="1074" t="n"/>
      <c r="H37" s="1074" t="n"/>
      <c r="I37" s="1" t="n"/>
      <c r="J37" s="1" t="n"/>
      <c r="K37" s="1" t="n"/>
      <c r="L37" s="1" t="n"/>
      <c r="M37" s="1" t="n"/>
    </row>
    <row r="38" ht="15.75" customHeight="1" thickBot="1">
      <c r="A38" s="1181" t="inlineStr">
        <is>
          <t>TOTAL</t>
        </is>
      </c>
      <c r="B38" s="1182">
        <f>SUM(B37:B37)</f>
        <v/>
      </c>
      <c r="C38" s="1182">
        <f>SUM(C37:C37)</f>
        <v/>
      </c>
      <c r="D38" s="1182">
        <f>SUM(D37:D37)</f>
        <v/>
      </c>
      <c r="E38" s="1016" t="n"/>
      <c r="F38" s="1016" t="n"/>
      <c r="G38" s="1016" t="n"/>
      <c r="H38" s="991" t="n"/>
      <c r="I38" s="1" t="n"/>
      <c r="J38" s="1" t="n"/>
      <c r="K38" s="1" t="n"/>
      <c r="L38" s="1" t="n"/>
      <c r="M38" s="1" t="n"/>
    </row>
    <row r="39">
      <c r="A39" s="1056" t="n"/>
      <c r="B39" s="1016" t="n"/>
      <c r="C39" s="1016" t="n"/>
      <c r="D39" s="1016" t="n"/>
      <c r="E39" s="1016" t="n"/>
      <c r="F39" s="991" t="n"/>
      <c r="G39" s="991" t="n"/>
      <c r="H39" s="991" t="n"/>
      <c r="I39" s="1" t="n"/>
      <c r="J39" s="1" t="n"/>
      <c r="K39" s="1" t="n"/>
      <c r="L39" s="1" t="n"/>
      <c r="M39" s="1" t="n"/>
    </row>
    <row r="40" ht="15.75" customHeight="1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 ht="15.75" customHeight="1" thickBot="1">
      <c r="A41" s="1082" t="inlineStr">
        <is>
          <t xml:space="preserve">                GST Payable for the month of AUG-26</t>
        </is>
      </c>
      <c r="B41" s="972" t="n"/>
      <c r="C41" s="972" t="n"/>
      <c r="D41" s="973" t="n"/>
      <c r="E41" s="1016" t="n"/>
      <c r="F41" s="1016" t="n"/>
      <c r="G41" s="1016" t="n"/>
      <c r="H41" s="1" t="n"/>
      <c r="I41" s="1" t="n"/>
      <c r="J41" s="1" t="n"/>
      <c r="K41" s="1" t="n"/>
      <c r="L41" s="1" t="n"/>
      <c r="M41" s="1" t="n"/>
    </row>
    <row r="42" ht="15.75" customHeight="1" thickBot="1">
      <c r="A42" s="1" t="n"/>
      <c r="B42" s="1" t="n"/>
      <c r="C42" s="442" t="n"/>
      <c r="D42" s="442" t="n"/>
      <c r="E42" s="1083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 ht="16.5" customHeight="1" thickBot="1">
      <c r="A43" s="1035" t="inlineStr">
        <is>
          <t>PARTICULARS</t>
        </is>
      </c>
      <c r="B43" s="1057" t="inlineStr">
        <is>
          <t>CGST</t>
        </is>
      </c>
      <c r="C43" s="1057" t="inlineStr">
        <is>
          <t>SGST</t>
        </is>
      </c>
      <c r="D43" s="1057" t="inlineStr">
        <is>
          <t>TOTAL</t>
        </is>
      </c>
      <c r="E43" s="433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434" t="n"/>
      <c r="B44" s="1069" t="n"/>
      <c r="C44" s="1069" t="n"/>
      <c r="D44" s="1069" t="n"/>
      <c r="E44" s="99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625">
        <f>+A7</f>
        <v/>
      </c>
      <c r="B45" s="1069">
        <f>+D14</f>
        <v/>
      </c>
      <c r="C45" s="1069">
        <f>+E14</f>
        <v/>
      </c>
      <c r="D45" s="1069">
        <f>+F14</f>
        <v/>
      </c>
      <c r="E45" s="1033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 ht="15.75" customHeight="1" thickBot="1">
      <c r="A46" s="626" t="n"/>
      <c r="B46" s="1084" t="n"/>
      <c r="C46" s="1084" t="n"/>
      <c r="D46" s="1084" t="n"/>
      <c r="E46" s="1033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 ht="33.75" customHeight="1">
      <c r="A47" s="628" t="inlineStr">
        <is>
          <t>TOTAL PAYABLE FOR RESIDENTIAL INCLUDING IGST</t>
        </is>
      </c>
      <c r="B47" s="1069">
        <f>+B45+B46</f>
        <v/>
      </c>
      <c r="C47" s="1069">
        <f>+C45+C46</f>
        <v/>
      </c>
      <c r="D47" s="1069">
        <f>+D45+D46</f>
        <v/>
      </c>
      <c r="E47" s="1033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626" t="n"/>
      <c r="B48" s="1069" t="n"/>
      <c r="C48" s="1069" t="n"/>
      <c r="D48" s="1069" t="n"/>
      <c r="E48" s="1033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260" t="inlineStr">
        <is>
          <t>GST UNDER RCM</t>
        </is>
      </c>
      <c r="B49" s="1069" t="n"/>
      <c r="C49" s="1069" t="n"/>
      <c r="D49" s="1069" t="n"/>
      <c r="E49" s="1033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626" t="inlineStr">
        <is>
          <t>SUN SILVER SPRING</t>
        </is>
      </c>
      <c r="B50" s="1069">
        <f>+D26</f>
        <v/>
      </c>
      <c r="C50" s="1069">
        <f>B50</f>
        <v/>
      </c>
      <c r="D50" s="1069">
        <f>+B50+C50</f>
        <v/>
      </c>
      <c r="E50" s="1033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 ht="15.75" customHeight="1" thickBot="1">
      <c r="A51" s="626" t="inlineStr">
        <is>
          <t>SUN OFFICE</t>
        </is>
      </c>
      <c r="B51" s="1069" t="n"/>
      <c r="C51" s="1069" t="n"/>
      <c r="D51" s="1069">
        <f>+B51+C51</f>
        <v/>
      </c>
      <c r="E51" s="1033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 ht="15.75" customHeight="1" thickBot="1">
      <c r="A52" s="437" t="inlineStr">
        <is>
          <t xml:space="preserve">            GST Payable</t>
        </is>
      </c>
      <c r="B52" s="1085">
        <f>+B47+B50+B51</f>
        <v/>
      </c>
      <c r="C52" s="1085">
        <f>+C47+C50+C51</f>
        <v/>
      </c>
      <c r="D52" s="1085">
        <f>+D47+D50+D51</f>
        <v/>
      </c>
      <c r="E52" s="1086" t="n"/>
      <c r="F52" s="1007" t="n"/>
      <c r="G52" s="1007" t="n"/>
      <c r="H52" s="1" t="n"/>
      <c r="I52" s="1" t="n"/>
      <c r="J52" s="1" t="n"/>
      <c r="K52" s="1" t="n"/>
      <c r="L52" s="1" t="n"/>
      <c r="M52" s="1" t="n"/>
    </row>
    <row r="53" ht="15.75" customHeight="1" thickBot="1">
      <c r="A53" s="569" t="inlineStr">
        <is>
          <t xml:space="preserve">           Net GST Payable</t>
        </is>
      </c>
      <c r="B53" s="1194">
        <f>+B52</f>
        <v/>
      </c>
      <c r="C53" s="1194">
        <f>+C52</f>
        <v/>
      </c>
      <c r="D53" s="1194">
        <f>+D52</f>
        <v/>
      </c>
      <c r="E53" s="1086" t="n"/>
      <c r="F53" s="440" t="n"/>
      <c r="G53" s="1007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330" t="n"/>
      <c r="B55" s="330" t="n"/>
      <c r="C55" s="330" t="n"/>
      <c r="D55" s="330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398" t="inlineStr">
        <is>
          <t>As per Note</t>
        </is>
      </c>
      <c r="B56" s="398" t="n"/>
      <c r="C56" s="398" t="inlineStr">
        <is>
          <t>Taxable Amount</t>
        </is>
      </c>
      <c r="D56" s="398" t="inlineStr">
        <is>
          <t>CGST</t>
        </is>
      </c>
      <c r="E56" s="398" t="inlineStr">
        <is>
          <t>SGST</t>
        </is>
      </c>
      <c r="F56" s="329" t="n"/>
      <c r="G56" s="1" t="n"/>
      <c r="H56" s="1" t="n"/>
      <c r="I56" s="1" t="n"/>
      <c r="J56" s="1" t="n"/>
      <c r="K56" s="1" t="n"/>
      <c r="L56" s="1" t="n"/>
      <c r="M56" s="1" t="n"/>
    </row>
    <row r="57">
      <c r="A57" s="331" t="n"/>
      <c r="B57" s="331" t="n"/>
      <c r="C57" s="612" t="n"/>
      <c r="D57" s="612" t="n"/>
      <c r="E57" s="612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331" t="n"/>
      <c r="B58" s="331" t="n"/>
      <c r="C58" s="612" t="n"/>
      <c r="D58" s="612" t="n"/>
      <c r="E58" s="612" t="n"/>
      <c r="F58" s="1" t="n"/>
      <c r="G58" s="1" t="n"/>
      <c r="H58" s="1" t="n"/>
      <c r="I58" s="1" t="n"/>
      <c r="J58" s="1" t="n"/>
      <c r="K58" s="1" t="n"/>
      <c r="L58" s="1" t="n"/>
      <c r="M58" s="1" t="n"/>
    </row>
  </sheetData>
  <mergeCells count="5">
    <mergeCell ref="A16:F16"/>
    <mergeCell ref="B17:H17"/>
    <mergeCell ref="A41:D41"/>
    <mergeCell ref="G24:M24"/>
    <mergeCell ref="A28:D28"/>
  </mergeCells>
  <hyperlinks>
    <hyperlink xmlns:r="http://schemas.openxmlformats.org/officeDocument/2006/relationships" ref="E4" r:id="rId1"/>
    <hyperlink xmlns:r="http://schemas.openxmlformats.org/officeDocument/2006/relationships" ref="E18" r:id="rId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0">
    <tabColor rgb="FFFFFF00"/>
    <outlinePr summaryBelow="1" summaryRight="1"/>
    <pageSetUpPr/>
  </sheetPr>
  <dimension ref="A1:N45"/>
  <sheetViews>
    <sheetView zoomScale="70" zoomScaleNormal="70" workbookViewId="0">
      <selection activeCell="A1" sqref="A1:M3"/>
    </sheetView>
  </sheetViews>
  <sheetFormatPr baseColWidth="8" defaultRowHeight="15"/>
  <cols>
    <col width="9.5703125" bestFit="1" customWidth="1" min="1" max="1"/>
    <col width="50" customWidth="1" min="2" max="2"/>
    <col width="16.42578125" customWidth="1" min="3" max="3"/>
    <col width="21" customWidth="1" min="4" max="4"/>
    <col width="23" customWidth="1" min="5" max="5"/>
    <col width="17" customWidth="1" min="6" max="6"/>
    <col width="19.28515625" customWidth="1" min="7" max="9"/>
    <col width="15.5703125" customWidth="1" min="10" max="10"/>
    <col width="16.85546875" customWidth="1" min="11" max="11"/>
    <col width="16.85546875" bestFit="1" customWidth="1" min="12" max="12"/>
    <col width="16.85546875" customWidth="1" min="13" max="13"/>
    <col width="12" bestFit="1" customWidth="1" min="14" max="14"/>
  </cols>
  <sheetData>
    <row r="1">
      <c r="A1" s="1196" t="inlineStr">
        <is>
          <t>Sun Realty</t>
        </is>
      </c>
      <c r="B1" s="964" t="n"/>
      <c r="C1" s="964" t="n"/>
      <c r="D1" s="964" t="n"/>
      <c r="E1" s="964" t="n"/>
      <c r="F1" s="964" t="n"/>
      <c r="G1" s="964" t="n"/>
      <c r="H1" s="964" t="n"/>
      <c r="I1" s="964" t="n"/>
      <c r="J1" s="964" t="n"/>
      <c r="K1" s="964" t="n"/>
      <c r="L1" s="964" t="n"/>
      <c r="M1" s="965" t="n"/>
    </row>
    <row r="2">
      <c r="A2" s="966" t="n"/>
      <c r="M2" s="967" t="n"/>
    </row>
    <row r="3" ht="15.75" customHeight="1" thickBot="1">
      <c r="A3" s="968" t="n"/>
      <c r="B3" s="969" t="n"/>
      <c r="C3" s="969" t="n"/>
      <c r="D3" s="969" t="n"/>
      <c r="E3" s="969" t="n"/>
      <c r="F3" s="969" t="n"/>
      <c r="G3" s="969" t="n"/>
      <c r="H3" s="969" t="n"/>
      <c r="I3" s="969" t="n"/>
      <c r="J3" s="969" t="n"/>
      <c r="K3" s="969" t="n"/>
      <c r="L3" s="969" t="n"/>
      <c r="M3" s="970" t="n"/>
    </row>
    <row r="4" ht="19.5" customHeight="1" thickBot="1">
      <c r="A4" s="971" t="inlineStr">
        <is>
          <t>CALCULATION For the month ofJUN-25</t>
        </is>
      </c>
      <c r="B4" s="972" t="n"/>
      <c r="C4" s="972" t="n"/>
      <c r="D4" s="972" t="n"/>
      <c r="E4" s="972" t="n"/>
      <c r="F4" s="972" t="n"/>
      <c r="G4" s="972" t="n"/>
      <c r="H4" s="972" t="n"/>
      <c r="I4" s="972" t="n"/>
      <c r="J4" s="972" t="n"/>
      <c r="K4" s="972" t="n"/>
      <c r="L4" s="972" t="n"/>
      <c r="M4" s="973" t="n"/>
    </row>
    <row r="5" ht="18.75" customHeight="1">
      <c r="A5" s="975" t="n"/>
      <c r="B5" s="976" t="n"/>
      <c r="C5" s="976" t="n"/>
      <c r="D5" s="976" t="n"/>
      <c r="E5" s="976" t="n"/>
      <c r="F5" s="976" t="n"/>
      <c r="G5" s="976" t="n"/>
      <c r="H5" s="976" t="n"/>
      <c r="I5" s="976" t="n"/>
      <c r="J5" s="975" t="n"/>
      <c r="K5" s="975" t="n"/>
      <c r="L5" s="975" t="n"/>
    </row>
    <row r="6" ht="21.75" customHeight="1" thickBot="1">
      <c r="A6" s="1099" t="inlineStr">
        <is>
          <t>FLATE MEMBERS COLLECTION @ 5%</t>
        </is>
      </c>
      <c r="B6" s="969" t="n"/>
      <c r="C6" s="969" t="n"/>
      <c r="D6" s="969" t="n"/>
      <c r="E6" s="969" t="n"/>
      <c r="F6" s="969" t="n"/>
      <c r="G6" s="969" t="n"/>
      <c r="H6" s="969" t="n"/>
      <c r="I6" s="969" t="n"/>
      <c r="J6" s="969" t="n"/>
      <c r="K6" s="975" t="n"/>
      <c r="L6" s="975" t="n"/>
    </row>
    <row r="7" ht="15.75" customHeight="1">
      <c r="A7" s="300" t="inlineStr">
        <is>
          <t>Flat No.</t>
        </is>
      </c>
      <c r="B7" s="300" t="inlineStr">
        <is>
          <t>Name of Owner</t>
        </is>
      </c>
      <c r="C7" s="300" t="inlineStr">
        <is>
          <t>CR SIDE</t>
        </is>
      </c>
      <c r="D7" s="301" t="inlineStr">
        <is>
          <t>Receipt of Registration Fees/JV (Cr)</t>
        </is>
      </c>
      <c r="E7" s="301" t="inlineStr">
        <is>
          <t>Payment of Reg Fees on Behalf of Client / JV (Dr)</t>
        </is>
      </c>
      <c r="F7" s="301" t="inlineStr">
        <is>
          <t>Receipt of Stamp Duty/JV (Cr)</t>
        </is>
      </c>
      <c r="G7" s="301" t="inlineStr">
        <is>
          <t>Payment of Stamp Duty/JV (Cr)</t>
        </is>
      </c>
      <c r="H7" s="849" t="n"/>
      <c r="I7" s="849" t="n"/>
      <c r="J7" s="301" t="inlineStr">
        <is>
          <t>REFUND OF SAME PEROID</t>
        </is>
      </c>
      <c r="K7" s="301" t="inlineStr">
        <is>
          <t>REFUND WITHOUT GST</t>
        </is>
      </c>
      <c r="L7" s="301" t="inlineStr">
        <is>
          <t>AEC,AUDA JV</t>
        </is>
      </c>
      <c r="M7" s="301" t="inlineStr">
        <is>
          <t>NET RECEIPT</t>
        </is>
      </c>
    </row>
    <row r="8" ht="69" customHeight="1" thickBot="1">
      <c r="A8" s="979" t="n"/>
      <c r="B8" s="979" t="n"/>
      <c r="C8" s="979" t="n"/>
      <c r="D8" s="979" t="n"/>
      <c r="E8" s="979" t="n"/>
      <c r="F8" s="979" t="n"/>
      <c r="G8" s="979" t="n"/>
      <c r="H8" s="850" t="inlineStr">
        <is>
          <t>cheque return</t>
        </is>
      </c>
      <c r="I8" s="850" t="inlineStr">
        <is>
          <t>cancellation of plot</t>
        </is>
      </c>
      <c r="J8" s="979" t="n"/>
      <c r="K8" s="979" t="n"/>
      <c r="L8" s="979" t="n"/>
      <c r="M8" s="979" t="n"/>
    </row>
    <row r="9" ht="18.75" customHeight="1">
      <c r="A9" s="1238" t="n"/>
      <c r="B9" s="1235" t="n"/>
      <c r="C9" s="1235" t="n"/>
      <c r="D9" s="1229" t="n"/>
      <c r="E9" s="1229">
        <f>D9</f>
        <v/>
      </c>
      <c r="F9" s="1229" t="n"/>
      <c r="G9" s="1229">
        <f>F9</f>
        <v/>
      </c>
      <c r="H9" s="1229" t="n"/>
      <c r="I9" s="1229" t="n"/>
      <c r="J9" s="1239" t="n"/>
      <c r="K9" s="1273" t="n"/>
      <c r="L9" s="1239" t="n">
        <v>0</v>
      </c>
      <c r="M9" s="1239">
        <f>C9-D9-F9</f>
        <v/>
      </c>
      <c r="N9" s="1274">
        <f>M9*2.5%</f>
        <v/>
      </c>
    </row>
    <row r="10" ht="16.5" customHeight="1">
      <c r="A10" s="1275" t="n"/>
      <c r="B10" s="1235" t="n"/>
      <c r="C10" s="1235" t="n"/>
      <c r="D10" s="1229" t="n"/>
      <c r="E10" s="1229" t="n"/>
      <c r="F10" s="1229" t="n"/>
      <c r="G10" s="1229" t="n"/>
      <c r="H10" s="1229" t="n"/>
      <c r="I10" s="1229" t="n"/>
      <c r="J10" s="1229" t="n"/>
      <c r="K10" s="1230" t="n"/>
      <c r="L10" s="1229" t="n"/>
      <c r="M10" s="1239">
        <f>C10-D10-F10</f>
        <v/>
      </c>
      <c r="N10" s="1274">
        <f>M10*2.5%</f>
        <v/>
      </c>
    </row>
    <row r="11" ht="16.5" customHeight="1">
      <c r="A11" s="1275" t="n"/>
      <c r="B11" s="1235" t="n"/>
      <c r="C11" s="1235" t="n"/>
      <c r="D11" s="1229" t="n"/>
      <c r="E11" s="1229" t="n"/>
      <c r="F11" s="1229" t="n"/>
      <c r="G11" s="1229" t="n"/>
      <c r="H11" s="1229" t="n"/>
      <c r="I11" s="1229" t="n"/>
      <c r="J11" s="1229" t="n"/>
      <c r="K11" s="1230" t="n"/>
      <c r="L11" s="1229" t="n"/>
      <c r="M11" s="1239">
        <f>C11-D11-F11</f>
        <v/>
      </c>
      <c r="N11" s="1274">
        <f>M11*2.5%</f>
        <v/>
      </c>
    </row>
    <row r="12" ht="16.5" customHeight="1">
      <c r="A12" s="1275" t="n"/>
      <c r="B12" s="1235" t="n"/>
      <c r="C12" s="1235" t="n"/>
      <c r="D12" s="1229" t="n"/>
      <c r="E12" s="1229" t="n"/>
      <c r="F12" s="1229" t="n"/>
      <c r="G12" s="1229" t="n"/>
      <c r="H12" s="1229" t="n"/>
      <c r="I12" s="1229" t="n"/>
      <c r="J12" s="1229" t="n"/>
      <c r="K12" s="1230" t="n"/>
      <c r="L12" s="1229" t="n"/>
      <c r="M12" s="1239">
        <f>C12-D12-F12</f>
        <v/>
      </c>
      <c r="N12" s="1274">
        <f>M12*2.5%</f>
        <v/>
      </c>
    </row>
    <row r="13" ht="16.5" customHeight="1">
      <c r="A13" s="1275" t="n"/>
      <c r="B13" s="1235" t="n"/>
      <c r="C13" s="1235" t="n"/>
      <c r="D13" s="1229" t="n"/>
      <c r="E13" s="1229" t="n"/>
      <c r="F13" s="1229" t="n"/>
      <c r="G13" s="1229" t="n"/>
      <c r="H13" s="1229" t="n"/>
      <c r="I13" s="1229" t="n"/>
      <c r="J13" s="1229" t="n"/>
      <c r="K13" s="1230" t="n"/>
      <c r="L13" s="1229" t="n"/>
      <c r="M13" s="1239">
        <f>C13-D13-F13</f>
        <v/>
      </c>
      <c r="N13" s="1274">
        <f>M13*2.5%</f>
        <v/>
      </c>
    </row>
    <row r="14" ht="16.5" customHeight="1">
      <c r="A14" s="1275" t="n"/>
      <c r="B14" s="1235" t="n"/>
      <c r="C14" s="1235" t="n"/>
      <c r="D14" s="1229" t="n"/>
      <c r="E14" s="1229" t="n"/>
      <c r="F14" s="1229" t="n"/>
      <c r="G14" s="1229" t="n"/>
      <c r="H14" s="1229" t="n"/>
      <c r="I14" s="1229" t="n"/>
      <c r="J14" s="1229" t="n"/>
      <c r="K14" s="1230" t="n"/>
      <c r="L14" s="1229" t="n"/>
      <c r="M14" s="1239">
        <f>C14-D14-F14-H14</f>
        <v/>
      </c>
      <c r="N14" s="1274">
        <f>M14*2.5%</f>
        <v/>
      </c>
    </row>
    <row r="15" ht="16.5" customHeight="1">
      <c r="A15" s="1275" t="n"/>
      <c r="B15" s="1235" t="n"/>
      <c r="C15" s="1235" t="n"/>
      <c r="D15" s="1229" t="n"/>
      <c r="E15" s="1229" t="n"/>
      <c r="F15" s="1229" t="n"/>
      <c r="G15" s="1229" t="n"/>
      <c r="H15" s="1229" t="n"/>
      <c r="I15" s="1229" t="n"/>
      <c r="J15" s="1229" t="n"/>
      <c r="K15" s="1230" t="n"/>
      <c r="L15" s="1229" t="n"/>
      <c r="M15" s="1239">
        <f>C15-D15-F15-H15</f>
        <v/>
      </c>
      <c r="N15" s="1274">
        <f>M15*2.5%</f>
        <v/>
      </c>
    </row>
    <row r="16" ht="16.5" customHeight="1">
      <c r="A16" s="1275" t="n"/>
      <c r="B16" s="1235" t="n"/>
      <c r="C16" s="1235" t="n"/>
      <c r="D16" s="1229" t="n"/>
      <c r="E16" s="1229" t="n"/>
      <c r="F16" s="1229" t="n"/>
      <c r="G16" s="1229" t="n"/>
      <c r="H16" s="1229" t="n"/>
      <c r="I16" s="1229" t="n"/>
      <c r="J16" s="1229" t="n"/>
      <c r="K16" s="1230" t="n"/>
      <c r="L16" s="1229" t="n"/>
      <c r="M16" s="1239">
        <f>C16-D16-F16-H16-I16</f>
        <v/>
      </c>
      <c r="N16" s="1274">
        <f>M16*2.5%</f>
        <v/>
      </c>
    </row>
    <row r="17" ht="18.75" customHeight="1">
      <c r="A17" s="1275" t="n"/>
      <c r="B17" s="1235" t="n"/>
      <c r="C17" s="1235" t="n"/>
      <c r="D17" s="1229" t="n"/>
      <c r="E17" s="1229" t="n"/>
      <c r="F17" s="1229" t="n"/>
      <c r="G17" s="1229" t="n"/>
      <c r="H17" s="1229" t="n"/>
      <c r="I17" s="1229" t="n"/>
      <c r="J17" s="1238" t="n"/>
      <c r="K17" s="1230" t="n"/>
      <c r="L17" s="1229" t="n"/>
      <c r="M17" s="1239">
        <f>C17-D17-F17-H17</f>
        <v/>
      </c>
      <c r="N17" s="1274">
        <f>M17*2.5%</f>
        <v/>
      </c>
    </row>
    <row r="18" ht="16.5" customHeight="1">
      <c r="A18" s="1275" t="n"/>
      <c r="B18" s="1235" t="n"/>
      <c r="C18" s="1235" t="n"/>
      <c r="D18" s="1229" t="n"/>
      <c r="E18" s="1229" t="n"/>
      <c r="F18" s="1229" t="n"/>
      <c r="G18" s="1229" t="n"/>
      <c r="H18" s="1229" t="n"/>
      <c r="I18" s="1229" t="n"/>
      <c r="J18" s="1229" t="n"/>
      <c r="K18" s="1230" t="n"/>
      <c r="L18" s="1229" t="n"/>
      <c r="M18" s="1239">
        <f>C18-D18-F18-H18</f>
        <v/>
      </c>
      <c r="N18" s="1274">
        <f>M18*2.5%</f>
        <v/>
      </c>
    </row>
    <row r="19" ht="16.5" customHeight="1">
      <c r="A19" s="1275" t="n"/>
      <c r="B19" s="1235" t="n"/>
      <c r="C19" s="1235" t="n"/>
      <c r="D19" s="1229" t="n"/>
      <c r="E19" s="1229" t="n"/>
      <c r="F19" s="1229" t="n"/>
      <c r="G19" s="1229" t="n"/>
      <c r="H19" s="1229" t="n"/>
      <c r="I19" s="1229" t="n"/>
      <c r="J19" s="1229" t="n"/>
      <c r="K19" s="1230" t="n"/>
      <c r="L19" s="1229" t="n"/>
      <c r="M19" s="1239">
        <f>C19-D19-F19-H19</f>
        <v/>
      </c>
      <c r="N19" s="1274">
        <f>M19*2.5%</f>
        <v/>
      </c>
    </row>
    <row r="20" ht="16.5" customHeight="1">
      <c r="A20" s="1275" t="n"/>
      <c r="B20" s="1235" t="n"/>
      <c r="C20" s="1235" t="n"/>
      <c r="D20" s="1229" t="n"/>
      <c r="E20" s="1229" t="n"/>
      <c r="F20" s="1229" t="n"/>
      <c r="G20" s="1229" t="n"/>
      <c r="H20" s="1229" t="n"/>
      <c r="I20" s="1229" t="n"/>
      <c r="J20" s="1229" t="n"/>
      <c r="K20" s="1230" t="n"/>
      <c r="L20" s="1229" t="n"/>
      <c r="M20" s="1239">
        <f>C20-D20-F20-H20</f>
        <v/>
      </c>
      <c r="N20" s="1274">
        <f>M20*2.5%</f>
        <v/>
      </c>
    </row>
    <row r="21" ht="16.5" customHeight="1">
      <c r="A21" s="1275" t="n"/>
      <c r="B21" s="1235" t="n"/>
      <c r="C21" s="1235" t="n"/>
      <c r="D21" s="1229" t="n"/>
      <c r="E21" s="1229" t="n"/>
      <c r="F21" s="1229" t="n"/>
      <c r="G21" s="1229" t="n"/>
      <c r="H21" s="1229" t="n"/>
      <c r="I21" s="1229" t="n"/>
      <c r="J21" s="1229" t="n"/>
      <c r="K21" s="1230" t="n"/>
      <c r="L21" s="1229" t="n"/>
      <c r="M21" s="1239">
        <f>C21-D21-F21-H21</f>
        <v/>
      </c>
      <c r="N21" s="1274">
        <f>M21*2.5%</f>
        <v/>
      </c>
    </row>
    <row r="22" ht="16.5" customHeight="1">
      <c r="A22" s="1275" t="n"/>
      <c r="B22" s="1235" t="n"/>
      <c r="C22" s="1235" t="n"/>
      <c r="D22" s="1229" t="n"/>
      <c r="E22" s="1229" t="n"/>
      <c r="F22" s="1229" t="n"/>
      <c r="G22" s="1229" t="n"/>
      <c r="H22" s="1229" t="n"/>
      <c r="I22" s="1229" t="n"/>
      <c r="J22" s="1229" t="n"/>
      <c r="K22" s="1230" t="n"/>
      <c r="L22" s="1229" t="n"/>
      <c r="M22" s="1239">
        <f>C22-D22-F22-H22</f>
        <v/>
      </c>
      <c r="N22" s="1274">
        <f>M22*2.5%</f>
        <v/>
      </c>
    </row>
    <row r="23" ht="16.5" customHeight="1">
      <c r="A23" s="1275" t="n"/>
      <c r="B23" s="1235" t="n"/>
      <c r="C23" s="1235" t="n"/>
      <c r="D23" s="1229" t="n"/>
      <c r="E23" s="1229" t="n"/>
      <c r="F23" s="1229" t="n"/>
      <c r="G23" s="1229" t="n"/>
      <c r="H23" s="1229" t="n"/>
      <c r="I23" s="1229" t="n"/>
      <c r="J23" s="1229" t="n"/>
      <c r="K23" s="1230" t="n"/>
      <c r="L23" s="1229" t="n"/>
      <c r="M23" s="1239">
        <f>C23-D23-F23-H23</f>
        <v/>
      </c>
      <c r="N23" s="1274">
        <f>M23*2.5%</f>
        <v/>
      </c>
    </row>
    <row r="24" ht="16.5" customHeight="1">
      <c r="A24" s="1275" t="n"/>
      <c r="B24" s="1235" t="n"/>
      <c r="C24" s="1235" t="n"/>
      <c r="D24" s="1229" t="n"/>
      <c r="E24" s="1229" t="n"/>
      <c r="F24" s="1229" t="n"/>
      <c r="G24" s="1229" t="n"/>
      <c r="H24" s="1229" t="n"/>
      <c r="I24" s="1229" t="n"/>
      <c r="J24" s="1229" t="n"/>
      <c r="K24" s="1230" t="n"/>
      <c r="L24" s="1229" t="n"/>
      <c r="M24" s="1239">
        <f>C24-D24-F24-H24</f>
        <v/>
      </c>
      <c r="N24" s="1274">
        <f>M24*2.5%</f>
        <v/>
      </c>
    </row>
    <row r="25" ht="16.5" customHeight="1">
      <c r="A25" s="1275" t="n"/>
      <c r="B25" s="1235" t="n"/>
      <c r="C25" s="1235" t="n"/>
      <c r="D25" s="1229" t="n"/>
      <c r="E25" s="1229" t="n"/>
      <c r="F25" s="1229" t="n"/>
      <c r="G25" s="1229" t="n"/>
      <c r="H25" s="1229" t="n"/>
      <c r="I25" s="1229" t="n"/>
      <c r="J25" s="1229" t="n"/>
      <c r="K25" s="1230" t="n"/>
      <c r="L25" s="1229" t="n"/>
      <c r="M25" s="1239">
        <f>C25-D25-F25-H25</f>
        <v/>
      </c>
      <c r="N25" s="1274">
        <f>M25*2.5%</f>
        <v/>
      </c>
    </row>
    <row r="26" ht="16.5" customHeight="1">
      <c r="A26" s="1275" t="n"/>
      <c r="B26" s="1235" t="n"/>
      <c r="C26" s="1235" t="n"/>
      <c r="D26" s="1230" t="n"/>
      <c r="E26" s="1229" t="n"/>
      <c r="F26" s="1229" t="n"/>
      <c r="G26" s="1229" t="n"/>
      <c r="H26" s="1229" t="n"/>
      <c r="I26" s="1229" t="n"/>
      <c r="J26" s="1229" t="n"/>
      <c r="K26" s="1230" t="n"/>
      <c r="L26" s="1229" t="n"/>
      <c r="M26" s="1239">
        <f>C26-D26-F26-H26</f>
        <v/>
      </c>
      <c r="N26" s="1274">
        <f>M26*2.5%</f>
        <v/>
      </c>
    </row>
    <row r="27" ht="16.5" customHeight="1">
      <c r="A27" s="1275" t="n"/>
      <c r="B27" s="1235" t="n"/>
      <c r="C27" s="1235" t="n"/>
      <c r="D27" s="1230" t="n"/>
      <c r="E27" s="1229" t="n"/>
      <c r="F27" s="1229" t="n"/>
      <c r="G27" s="1229" t="n"/>
      <c r="H27" s="1229" t="n"/>
      <c r="I27" s="1229" t="n"/>
      <c r="J27" s="1229" t="n"/>
      <c r="K27" s="1230" t="n"/>
      <c r="L27" s="1229" t="n"/>
      <c r="M27" s="1239">
        <f>C27-D27-F27-H27</f>
        <v/>
      </c>
      <c r="N27" s="1274">
        <f>M27*2.5%</f>
        <v/>
      </c>
    </row>
    <row r="28" ht="16.5" customHeight="1">
      <c r="A28" s="1275" t="n"/>
      <c r="B28" s="1235" t="n"/>
      <c r="C28" s="1235" t="n"/>
      <c r="D28" s="1230" t="n"/>
      <c r="E28" s="1229" t="n"/>
      <c r="F28" s="1229" t="n"/>
      <c r="G28" s="1229" t="n"/>
      <c r="H28" s="1229" t="n"/>
      <c r="I28" s="1229" t="n"/>
      <c r="J28" s="1229" t="n"/>
      <c r="K28" s="1230" t="n"/>
      <c r="L28" s="1229" t="n"/>
      <c r="M28" s="1239">
        <f>C28-D28-F28-H28</f>
        <v/>
      </c>
      <c r="N28" s="1274">
        <f>M28*2.5%</f>
        <v/>
      </c>
    </row>
    <row r="29" ht="16.5" customHeight="1">
      <c r="A29" s="1275" t="n"/>
      <c r="B29" s="1235" t="n"/>
      <c r="C29" s="1235" t="n"/>
      <c r="D29" s="1230" t="n"/>
      <c r="E29" s="1229" t="n"/>
      <c r="F29" s="1229" t="n"/>
      <c r="G29" s="1229" t="n"/>
      <c r="H29" s="1229" t="n"/>
      <c r="I29" s="1229" t="n"/>
      <c r="J29" s="1229" t="n"/>
      <c r="K29" s="1230" t="n"/>
      <c r="L29" s="1229" t="n"/>
      <c r="M29" s="1239">
        <f>C29-D29-F29-H29</f>
        <v/>
      </c>
      <c r="N29" s="1274">
        <f>M29*2.5%</f>
        <v/>
      </c>
    </row>
    <row r="30" ht="17.25" customHeight="1" thickBot="1">
      <c r="A30" s="1275" t="n"/>
      <c r="B30" s="1235" t="n"/>
      <c r="C30" s="1235" t="n"/>
      <c r="D30" s="1230" t="n"/>
      <c r="E30" s="1229">
        <f>+D30</f>
        <v/>
      </c>
      <c r="F30" s="1229" t="n"/>
      <c r="G30" s="1229">
        <f>+F30</f>
        <v/>
      </c>
      <c r="H30" s="1229" t="n"/>
      <c r="I30" s="1229" t="n"/>
      <c r="J30" s="1236" t="n"/>
      <c r="K30" s="1230" t="n"/>
      <c r="L30" s="1229" t="n"/>
      <c r="M30" s="1239">
        <f>C30-D30-F30-H30</f>
        <v/>
      </c>
      <c r="N30" s="1274">
        <f>M30*2.5%</f>
        <v/>
      </c>
    </row>
    <row r="31" ht="17.25" customHeight="1" thickBot="1">
      <c r="A31" s="1276" t="n"/>
      <c r="B31" s="1277" t="n"/>
      <c r="C31" s="1235" t="n"/>
      <c r="D31" s="1230" t="n"/>
      <c r="E31" s="1229" t="n"/>
      <c r="F31" s="1229" t="n"/>
      <c r="G31" s="1229" t="n"/>
      <c r="H31" s="1229" t="n"/>
      <c r="I31" s="1229" t="n"/>
      <c r="J31" s="1236" t="n"/>
      <c r="K31" s="1230" t="n"/>
      <c r="L31" s="1229" t="n"/>
      <c r="M31" s="1239" t="n"/>
      <c r="N31" s="230" t="n"/>
    </row>
    <row r="32" ht="19.5" customHeight="1" thickBot="1">
      <c r="A32" s="904" t="inlineStr">
        <is>
          <t>Total</t>
        </is>
      </c>
      <c r="B32" s="904" t="n"/>
      <c r="C32" s="971">
        <f>SUM(C9:C30)</f>
        <v/>
      </c>
      <c r="D32" s="971">
        <f>SUM(D9:D30)</f>
        <v/>
      </c>
      <c r="E32" s="971">
        <f>SUM(E9:E30)</f>
        <v/>
      </c>
      <c r="F32" s="971">
        <f>SUM(F9:F30)</f>
        <v/>
      </c>
      <c r="G32" s="971">
        <f>SUM(G9:G30)</f>
        <v/>
      </c>
      <c r="H32" s="971" t="n"/>
      <c r="I32" s="971" t="n"/>
      <c r="J32" s="971">
        <f>SUM(J9:J30)</f>
        <v/>
      </c>
      <c r="K32" s="971">
        <f>SUM(K9:K30)</f>
        <v/>
      </c>
      <c r="L32" s="971">
        <f>SUM(L9:L30)</f>
        <v/>
      </c>
      <c r="M32" s="971">
        <f>SUM(M9:M30)</f>
        <v/>
      </c>
    </row>
    <row r="33">
      <c r="D33" s="985" t="n"/>
    </row>
    <row r="34">
      <c r="D34" s="985" t="n"/>
    </row>
    <row r="35" ht="21.75" customHeight="1" thickBot="1">
      <c r="A35" s="1099" t="inlineStr">
        <is>
          <t>SHOP MEMBERS COLLECTION</t>
        </is>
      </c>
      <c r="B35" s="969" t="n"/>
      <c r="C35" s="969" t="n"/>
      <c r="D35" s="969" t="n"/>
      <c r="E35" s="969" t="n"/>
      <c r="F35" s="969" t="n"/>
      <c r="G35" s="969" t="n"/>
      <c r="H35" s="969" t="n"/>
      <c r="I35" s="969" t="n"/>
      <c r="J35" s="969" t="n"/>
    </row>
    <row r="36" ht="15.75" customHeight="1">
      <c r="A36" s="300" t="inlineStr">
        <is>
          <t>Flat No.</t>
        </is>
      </c>
      <c r="B36" s="300" t="inlineStr">
        <is>
          <t>Name of Owner</t>
        </is>
      </c>
      <c r="C36" s="300" t="inlineStr">
        <is>
          <t>CR SIDE</t>
        </is>
      </c>
      <c r="D36" s="301" t="inlineStr">
        <is>
          <t>Receipt of Registration Fees</t>
        </is>
      </c>
      <c r="E36" s="301" t="inlineStr">
        <is>
          <t>Payment of Reg Fees on Behalf of Client</t>
        </is>
      </c>
      <c r="F36" s="301" t="inlineStr">
        <is>
          <t>Receipt of Stamp Duty/JV (Cr)</t>
        </is>
      </c>
      <c r="G36" s="301" t="inlineStr">
        <is>
          <t>Payment of Stamp Duty/JV (Cr)</t>
        </is>
      </c>
      <c r="H36" s="849" t="n"/>
      <c r="I36" s="849" t="n"/>
      <c r="J36" s="301" t="inlineStr">
        <is>
          <t>REFUND OF SAME PEROID</t>
        </is>
      </c>
      <c r="K36" s="301" t="inlineStr">
        <is>
          <t>REFUND WITHOUT GST</t>
        </is>
      </c>
      <c r="L36" s="301" t="inlineStr">
        <is>
          <t>AEC,AUDA JV</t>
        </is>
      </c>
      <c r="M36" s="301" t="inlineStr">
        <is>
          <t>NET RECEIPT</t>
        </is>
      </c>
    </row>
    <row r="37" ht="16.5" customHeight="1" thickBot="1">
      <c r="A37" s="979" t="n"/>
      <c r="B37" s="979" t="n"/>
      <c r="C37" s="979" t="n"/>
      <c r="D37" s="979" t="n"/>
      <c r="E37" s="979" t="n"/>
      <c r="F37" s="979" t="n"/>
      <c r="G37" s="979" t="n"/>
      <c r="H37" s="850" t="n"/>
      <c r="I37" s="850" t="n"/>
      <c r="J37" s="979" t="n"/>
      <c r="K37" s="979" t="n"/>
      <c r="L37" s="979" t="n"/>
      <c r="M37" s="979" t="n"/>
    </row>
    <row r="38" ht="18.75" customHeight="1">
      <c r="A38" s="1242" t="n"/>
      <c r="B38" s="1278" t="n"/>
      <c r="C38" s="1238" t="n"/>
      <c r="D38" s="1229" t="n"/>
      <c r="E38" s="1229">
        <f>D38</f>
        <v/>
      </c>
      <c r="F38" s="1229" t="n"/>
      <c r="G38" s="1229">
        <f>F38</f>
        <v/>
      </c>
      <c r="H38" s="1229" t="n"/>
      <c r="I38" s="1229" t="n"/>
      <c r="J38" s="1238" t="n"/>
      <c r="K38" s="1238" t="n"/>
      <c r="L38" s="1238" t="n"/>
      <c r="M38" s="1238">
        <f>C38-D38-F38</f>
        <v/>
      </c>
    </row>
    <row r="39" ht="18.75" customHeight="1">
      <c r="A39" s="1242" t="n"/>
      <c r="B39" s="1278" t="n"/>
      <c r="C39" s="1238" t="n"/>
      <c r="D39" s="1238" t="n"/>
      <c r="E39" s="1229">
        <f>D39</f>
        <v/>
      </c>
      <c r="F39" s="1229" t="n"/>
      <c r="G39" s="1229">
        <f>F39</f>
        <v/>
      </c>
      <c r="H39" s="1229" t="n"/>
      <c r="I39" s="1229" t="n"/>
      <c r="J39" s="1238" t="n"/>
      <c r="K39" s="1238" t="n"/>
      <c r="L39" s="1238" t="n"/>
      <c r="M39" s="1238">
        <f>C39-D39-F39</f>
        <v/>
      </c>
      <c r="N39" s="227">
        <f>M39*2.5/100</f>
        <v/>
      </c>
    </row>
    <row r="40" ht="18.75" customHeight="1">
      <c r="A40" s="1242" t="n"/>
      <c r="B40" s="1278" t="n"/>
      <c r="C40" s="1238" t="n"/>
      <c r="D40" s="1238" t="n"/>
      <c r="E40" s="1229">
        <f>D40</f>
        <v/>
      </c>
      <c r="F40" s="1229" t="n"/>
      <c r="G40" s="1229">
        <f>F40</f>
        <v/>
      </c>
      <c r="H40" s="1229" t="n"/>
      <c r="I40" s="1229" t="n"/>
      <c r="J40" s="1238" t="n"/>
      <c r="K40" s="1238" t="n"/>
      <c r="L40" s="1238" t="n"/>
      <c r="M40" s="1238">
        <f>C40-D40-F40</f>
        <v/>
      </c>
      <c r="N40" s="227">
        <f>M40*2.5/100</f>
        <v/>
      </c>
    </row>
    <row r="41" ht="18.75" customHeight="1">
      <c r="A41" s="1242" t="n"/>
      <c r="B41" s="1279" t="n"/>
      <c r="C41" s="1238" t="n"/>
      <c r="D41" s="1238" t="n"/>
      <c r="E41" s="1238">
        <f>+D41</f>
        <v/>
      </c>
      <c r="F41" s="1238" t="n"/>
      <c r="G41" s="1238" t="n"/>
      <c r="H41" s="1238" t="n"/>
      <c r="I41" s="1238" t="n"/>
      <c r="J41" s="1238" t="n"/>
      <c r="K41" s="1238" t="n"/>
      <c r="L41" s="1238" t="n"/>
      <c r="M41" s="1238">
        <f>C41-D41-F41</f>
        <v/>
      </c>
      <c r="N41" s="227">
        <f>M41*2.5/100</f>
        <v/>
      </c>
    </row>
    <row r="42" ht="18.75" customHeight="1">
      <c r="A42" s="1242" t="n"/>
      <c r="B42" s="1279" t="n"/>
      <c r="C42" s="1238" t="n"/>
      <c r="D42" s="1238" t="n"/>
      <c r="E42" s="1238">
        <f>+D42</f>
        <v/>
      </c>
      <c r="F42" s="1238" t="n"/>
      <c r="G42" s="1238" t="n"/>
      <c r="H42" s="1238" t="n"/>
      <c r="I42" s="1238" t="n"/>
      <c r="J42" s="1238" t="n"/>
      <c r="K42" s="1238" t="n"/>
      <c r="L42" s="1238" t="n"/>
      <c r="M42" s="1238">
        <f>C42-D42-F42</f>
        <v/>
      </c>
      <c r="N42" s="227">
        <f>M42*2.5/100</f>
        <v/>
      </c>
    </row>
    <row r="43" ht="18.75" customHeight="1">
      <c r="A43" s="1242" t="n"/>
      <c r="B43" s="1279" t="n"/>
      <c r="C43" s="1238" t="n"/>
      <c r="D43" s="1238" t="n"/>
      <c r="E43" s="1238">
        <f>+D43</f>
        <v/>
      </c>
      <c r="F43" s="1238" t="n"/>
      <c r="G43" s="1238" t="n"/>
      <c r="H43" s="1238" t="n"/>
      <c r="I43" s="1238" t="n"/>
      <c r="J43" s="1238" t="n"/>
      <c r="K43" s="1238" t="n"/>
      <c r="L43" s="1238" t="n"/>
      <c r="M43" s="1238">
        <f>C43-D43-F43</f>
        <v/>
      </c>
      <c r="N43" s="227">
        <f>M43*2.5/100</f>
        <v/>
      </c>
    </row>
    <row r="44" ht="19.5" customHeight="1" thickBot="1">
      <c r="A44" s="1242" t="n"/>
      <c r="B44" s="1242" t="n"/>
      <c r="C44" s="1238" t="n"/>
      <c r="D44" s="1238" t="n"/>
      <c r="E44" s="1238">
        <f>+D44</f>
        <v/>
      </c>
      <c r="F44" s="1238" t="n"/>
      <c r="G44" s="1238" t="n"/>
      <c r="H44" s="1238" t="n"/>
      <c r="I44" s="1238" t="n"/>
      <c r="J44" s="1238" t="n"/>
      <c r="K44" s="1238" t="n"/>
      <c r="L44" s="1238" t="n"/>
      <c r="M44" s="1238">
        <f>C44-D44</f>
        <v/>
      </c>
      <c r="N44" s="227">
        <f>M44*2.5/100</f>
        <v/>
      </c>
    </row>
    <row r="45" ht="19.5" customHeight="1" thickBot="1">
      <c r="A45" s="1200" t="inlineStr">
        <is>
          <t>Total</t>
        </is>
      </c>
      <c r="B45" s="973" t="n"/>
      <c r="C45" s="971">
        <f>SUM(C38:C44)</f>
        <v/>
      </c>
      <c r="D45" s="971">
        <f>SUM(D38:D44)</f>
        <v/>
      </c>
      <c r="E45" s="971">
        <f>SUM(E38:E44)</f>
        <v/>
      </c>
      <c r="F45" s="971" t="n"/>
      <c r="G45" s="971" t="n"/>
      <c r="H45" s="971" t="n"/>
      <c r="I45" s="971" t="n"/>
      <c r="J45" s="971">
        <f>SUM(J38:J44)</f>
        <v/>
      </c>
      <c r="K45" s="971">
        <f>SUM(K38:K44)</f>
        <v/>
      </c>
      <c r="L45" s="971">
        <f>SUM(L38:L44)</f>
        <v/>
      </c>
      <c r="M45" s="971">
        <f>SUM(M38:M44)</f>
        <v/>
      </c>
    </row>
  </sheetData>
  <mergeCells count="27">
    <mergeCell ref="K36:K37"/>
    <mergeCell ref="F36:F37"/>
    <mergeCell ref="A45:B45"/>
    <mergeCell ref="A4:M4"/>
    <mergeCell ref="A7:A8"/>
    <mergeCell ref="A35:J35"/>
    <mergeCell ref="G7:G8"/>
    <mergeCell ref="A36:A37"/>
    <mergeCell ref="M7:M8"/>
    <mergeCell ref="D36:D37"/>
    <mergeCell ref="D7:D8"/>
    <mergeCell ref="J36:J37"/>
    <mergeCell ref="J7:J8"/>
    <mergeCell ref="C36:C37"/>
    <mergeCell ref="M36:M37"/>
    <mergeCell ref="A6:J6"/>
    <mergeCell ref="B36:B37"/>
    <mergeCell ref="A1:M3"/>
    <mergeCell ref="E36:E37"/>
    <mergeCell ref="C7:C8"/>
    <mergeCell ref="E7:E8"/>
    <mergeCell ref="K7:K8"/>
    <mergeCell ref="B7:B8"/>
    <mergeCell ref="L36:L37"/>
    <mergeCell ref="F7:F8"/>
    <mergeCell ref="L7:L8"/>
    <mergeCell ref="G36:G3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1">
    <tabColor rgb="FFFFFF00"/>
    <outlinePr summaryBelow="1" summaryRight="1"/>
    <pageSetUpPr/>
  </sheetPr>
  <dimension ref="A1:M52"/>
  <sheetViews>
    <sheetView workbookViewId="0">
      <selection activeCell="A1" sqref="A1:M3"/>
    </sheetView>
  </sheetViews>
  <sheetFormatPr baseColWidth="8" defaultRowHeight="15"/>
  <cols>
    <col width="47.5703125" bestFit="1" customWidth="1" min="1" max="1"/>
    <col width="12.42578125" bestFit="1" customWidth="1" min="2" max="2"/>
    <col width="10.28515625" bestFit="1" customWidth="1" min="3" max="3"/>
    <col width="10.5703125" bestFit="1" customWidth="1" min="4" max="6"/>
    <col width="10" bestFit="1" customWidth="1" min="7" max="7"/>
  </cols>
  <sheetData>
    <row r="1" ht="36.75" customHeight="1" thickBot="1">
      <c r="A1" s="213" t="inlineStr">
        <is>
          <t>Sun Realty -LEKHAMBHA</t>
        </is>
      </c>
      <c r="B1" s="214" t="n"/>
      <c r="C1" s="214" t="n"/>
      <c r="D1" s="214" t="n"/>
      <c r="E1" s="214" t="n"/>
      <c r="F1" s="214" t="n"/>
      <c r="G1" s="214" t="n"/>
      <c r="H1" s="215" t="n"/>
    </row>
    <row r="2" ht="15.75" customHeight="1" thickBot="1">
      <c r="A2" s="1280" t="inlineStr">
        <is>
          <t xml:space="preserve">                      GST PAYABLE ON COMMERCIAL CONSTRUCTION  FOR THE MONTH OFJUN-25</t>
        </is>
      </c>
      <c r="B2" s="1281" t="n"/>
      <c r="C2" s="1281" t="n"/>
      <c r="D2" s="1281" t="n"/>
      <c r="E2" s="1281" t="n"/>
      <c r="F2" s="1281" t="n"/>
      <c r="G2" s="1281" t="n"/>
      <c r="H2" s="1282" t="n"/>
    </row>
    <row r="3" ht="15.75" customHeight="1" thickBot="1"/>
    <row r="4" ht="15.75" customHeight="1" thickBot="1">
      <c r="A4" s="1283" t="inlineStr">
        <is>
          <t>Supply</t>
        </is>
      </c>
      <c r="B4" s="1284" t="inlineStr">
        <is>
          <t>AMOUNT</t>
        </is>
      </c>
      <c r="C4" s="1284" t="inlineStr">
        <is>
          <t>RATE</t>
        </is>
      </c>
      <c r="D4" s="1284" t="inlineStr">
        <is>
          <t xml:space="preserve">CGST </t>
        </is>
      </c>
      <c r="E4" s="1284" t="inlineStr">
        <is>
          <t>SGST</t>
        </is>
      </c>
      <c r="F4" s="1285" t="inlineStr">
        <is>
          <t>TOTAL</t>
        </is>
      </c>
    </row>
    <row r="5">
      <c r="A5" s="1286" t="n"/>
      <c r="B5" s="1287" t="n"/>
      <c r="C5" s="1288" t="n"/>
      <c r="D5" s="1288" t="n"/>
      <c r="E5" s="1288" t="n"/>
      <c r="F5" s="1289" t="n"/>
    </row>
    <row r="6">
      <c r="A6" s="1290" t="inlineStr">
        <is>
          <t>SUN REALTY -SUN SILVER SPRINGS RESIDENTIAL</t>
        </is>
      </c>
      <c r="B6" s="1291">
        <f>'LEKHAMBHA- Member coll'!M32</f>
        <v/>
      </c>
      <c r="C6" s="77" t="n">
        <v>0.05</v>
      </c>
      <c r="D6" s="1292">
        <f>B6*C6/2</f>
        <v/>
      </c>
      <c r="E6" s="1292">
        <f>B6*C6/2</f>
        <v/>
      </c>
      <c r="F6" s="1293">
        <f>+D6+E6</f>
        <v/>
      </c>
      <c r="G6" s="1294" t="n"/>
    </row>
    <row r="7">
      <c r="A7" s="1290" t="inlineStr">
        <is>
          <t xml:space="preserve">Less : Refund </t>
        </is>
      </c>
      <c r="B7" s="1291">
        <f>-'LEKHAMBHA- Member coll'!J32</f>
        <v/>
      </c>
      <c r="C7" s="77" t="n">
        <v>0.05</v>
      </c>
      <c r="D7" s="1292">
        <f>B7*C7/2</f>
        <v/>
      </c>
      <c r="E7" s="1292">
        <f>B7*C7/2</f>
        <v/>
      </c>
      <c r="F7" s="1293">
        <f>+D7+E7</f>
        <v/>
      </c>
      <c r="G7" s="210" t="n"/>
    </row>
    <row r="8">
      <c r="A8" s="1290" t="n"/>
      <c r="B8" s="1291" t="n"/>
      <c r="C8" s="77" t="n"/>
      <c r="D8" s="1292" t="n"/>
      <c r="E8" s="1292" t="n"/>
      <c r="F8" s="1293" t="n"/>
      <c r="G8" s="210" t="n"/>
    </row>
    <row r="9">
      <c r="A9" s="1290" t="inlineStr">
        <is>
          <t>SUN REALTY -SUN SILVER SPRINGS COMMERCIAL</t>
        </is>
      </c>
      <c r="B9" s="1291">
        <f>+'LEKHAMBHA- Member coll'!M45</f>
        <v/>
      </c>
      <c r="C9" s="77" t="n">
        <v>0.05</v>
      </c>
      <c r="D9" s="1292">
        <f>B9*C9/2</f>
        <v/>
      </c>
      <c r="E9" s="1292">
        <f>B9*C9/2</f>
        <v/>
      </c>
      <c r="F9" s="1293">
        <f>+D9+E9</f>
        <v/>
      </c>
      <c r="G9" s="985" t="n"/>
    </row>
    <row r="10">
      <c r="A10" s="1290" t="inlineStr">
        <is>
          <t xml:space="preserve">Less : Refund </t>
        </is>
      </c>
      <c r="B10" s="1291">
        <f>+'LEKHAMBHA- Member coll'!J45</f>
        <v/>
      </c>
      <c r="C10" s="77" t="n">
        <v>0.05</v>
      </c>
      <c r="D10" s="1292">
        <f>B10*C10/2</f>
        <v/>
      </c>
      <c r="E10" s="1292">
        <f>B10*C10/2</f>
        <v/>
      </c>
      <c r="F10" s="1293">
        <f>+D10+E10</f>
        <v/>
      </c>
      <c r="G10" s="985" t="n"/>
    </row>
    <row r="11">
      <c r="A11" s="1290" t="n"/>
      <c r="B11" s="1291" t="n"/>
      <c r="C11" s="77" t="n"/>
      <c r="D11" s="1292" t="n"/>
      <c r="E11" s="1292" t="n"/>
      <c r="F11" s="1293" t="n"/>
      <c r="G11" s="985" t="n"/>
    </row>
    <row r="12" ht="15.75" customHeight="1" thickBot="1">
      <c r="A12" s="1290" t="n"/>
      <c r="B12" s="1291" t="n"/>
      <c r="C12" s="77" t="n"/>
      <c r="D12" s="1292" t="n"/>
      <c r="E12" s="1292" t="n"/>
      <c r="F12" s="1293" t="n"/>
    </row>
    <row r="13" ht="15.75" customHeight="1" thickBot="1">
      <c r="A13" s="1295" t="inlineStr">
        <is>
          <t>TOTAL</t>
        </is>
      </c>
      <c r="B13" s="1296">
        <f>SUM(B6:B11)</f>
        <v/>
      </c>
      <c r="C13" s="1296" t="n"/>
      <c r="D13" s="1296">
        <f>SUM(D6:D12)</f>
        <v/>
      </c>
      <c r="E13" s="1296">
        <f>SUM(E6:E12)</f>
        <v/>
      </c>
      <c r="F13" s="1297">
        <f>SUM(F6:F12)</f>
        <v/>
      </c>
      <c r="G13" s="985" t="n"/>
      <c r="H13" s="985" t="n"/>
    </row>
    <row r="14" ht="15.75" customHeight="1" thickBot="1"/>
    <row r="15" ht="15.75" customHeight="1" thickBot="1">
      <c r="A15" s="1298" t="inlineStr">
        <is>
          <t xml:space="preserve">                  GST PAYABLE UNDER RCM FOR THE MONTH OFJUN-25</t>
        </is>
      </c>
      <c r="B15" s="972" t="n"/>
      <c r="C15" s="972" t="n"/>
      <c r="D15" s="972" t="n"/>
      <c r="E15" s="972" t="n"/>
      <c r="F15" s="973" t="n"/>
      <c r="G15" s="1299" t="n"/>
      <c r="H15" s="1299" t="n"/>
    </row>
    <row r="16" ht="15.75" customHeight="1" thickBot="1">
      <c r="A16" s="1300" t="inlineStr">
        <is>
          <t>.</t>
        </is>
      </c>
      <c r="B16" s="1301" t="n"/>
    </row>
    <row r="17">
      <c r="A17" s="1302" t="inlineStr">
        <is>
          <t>Service</t>
        </is>
      </c>
      <c r="B17" s="1303" t="inlineStr">
        <is>
          <t>AMOUNT</t>
        </is>
      </c>
      <c r="C17" s="1303" t="inlineStr">
        <is>
          <t>RATE</t>
        </is>
      </c>
      <c r="D17" s="1303" t="inlineStr">
        <is>
          <t>CGST</t>
        </is>
      </c>
      <c r="E17" s="1303" t="inlineStr">
        <is>
          <t>SGST</t>
        </is>
      </c>
      <c r="F17" s="1304" t="inlineStr">
        <is>
          <t>TOTAL</t>
        </is>
      </c>
    </row>
    <row r="18" ht="15.75" customHeight="1" thickBot="1">
      <c r="A18" s="1305" t="n"/>
      <c r="B18" s="1291" t="n"/>
      <c r="C18" s="19" t="n"/>
      <c r="D18" s="1292" t="n"/>
      <c r="E18" s="1292" t="n"/>
      <c r="F18" s="1293" t="n"/>
    </row>
    <row r="19" ht="15.75" customHeight="1" thickBot="1">
      <c r="A19" s="1306" t="inlineStr">
        <is>
          <t>SUN REALTY -SUN SILVER SPRINGS</t>
        </is>
      </c>
      <c r="B19" s="1307" t="n"/>
      <c r="C19" s="19" t="n"/>
      <c r="D19" s="1292" t="n"/>
      <c r="E19" s="1292" t="n"/>
      <c r="F19" s="1293" t="n"/>
    </row>
    <row r="20">
      <c r="A20" s="1305" t="inlineStr">
        <is>
          <t>Advocate fees</t>
        </is>
      </c>
      <c r="B20" s="1291" t="n">
        <v>0</v>
      </c>
      <c r="C20" s="19" t="n">
        <v>0.18</v>
      </c>
      <c r="D20" s="1292">
        <f>+B20*9/100</f>
        <v/>
      </c>
      <c r="E20" s="1292">
        <f>+D20</f>
        <v/>
      </c>
      <c r="F20" s="1293">
        <f>+D20+E20</f>
        <v/>
      </c>
    </row>
    <row r="21" ht="30" customHeight="1">
      <c r="A21" s="1308" t="inlineStr">
        <is>
          <t>Carting and Transportation (Gayatri Sales Corp)/ ASHOK P VANJARA</t>
        </is>
      </c>
      <c r="B21" s="1291" t="n">
        <v>0</v>
      </c>
      <c r="C21" s="19" t="n">
        <v>0.05</v>
      </c>
      <c r="D21" s="1292">
        <f>+B21*0.025</f>
        <v/>
      </c>
      <c r="E21" s="1292">
        <f>+D21</f>
        <v/>
      </c>
      <c r="F21" s="1293">
        <f>+D21+E21</f>
        <v/>
      </c>
      <c r="G21" s="226" t="n"/>
    </row>
    <row r="22">
      <c r="A22" s="1309" t="inlineStr">
        <is>
          <t>Security Services</t>
        </is>
      </c>
      <c r="B22" s="1291" t="n">
        <v>0</v>
      </c>
      <c r="C22" s="19" t="n">
        <v>0.18</v>
      </c>
      <c r="D22" s="1292">
        <f>+B22*9%</f>
        <v/>
      </c>
      <c r="E22" s="1292">
        <f>+B22*9%</f>
        <v/>
      </c>
      <c r="F22" s="1293">
        <f>SUM(D22:E22)</f>
        <v/>
      </c>
    </row>
    <row r="23">
      <c r="A23" s="1309" t="inlineStr">
        <is>
          <t>Sponsorship Exp</t>
        </is>
      </c>
      <c r="B23" s="1291" t="n"/>
      <c r="C23" s="19" t="n">
        <v>0.18</v>
      </c>
      <c r="D23" s="1292">
        <f>+B23*9%</f>
        <v/>
      </c>
      <c r="E23" s="1292">
        <f>+B23*9%</f>
        <v/>
      </c>
      <c r="F23" s="1293">
        <f>SUM(D23:E23)</f>
        <v/>
      </c>
      <c r="G23" s="929" t="n"/>
    </row>
    <row r="24">
      <c r="A24" s="1309" t="inlineStr">
        <is>
          <t>Royalty Exp.</t>
        </is>
      </c>
      <c r="B24" s="1291" t="n"/>
      <c r="C24" s="19" t="n">
        <v>0.18</v>
      </c>
      <c r="D24" s="1292">
        <f>+B24*9%</f>
        <v/>
      </c>
      <c r="E24" s="1292">
        <f>+B24*9%</f>
        <v/>
      </c>
      <c r="F24" s="1293">
        <f>SUM(D24:E24)</f>
        <v/>
      </c>
    </row>
    <row r="25" ht="15.75" customHeight="1" thickBot="1">
      <c r="A25" s="1310" t="inlineStr">
        <is>
          <t>TOTAL</t>
        </is>
      </c>
      <c r="B25" s="1311">
        <f>SUM(B19:B24)</f>
        <v/>
      </c>
      <c r="C25" s="1311" t="n"/>
      <c r="D25" s="1311">
        <f>SUM(D19:D24)</f>
        <v/>
      </c>
      <c r="E25" s="1311">
        <f>SUM(E19:E24)</f>
        <v/>
      </c>
      <c r="F25" s="1311">
        <f>SUM(F19:F24)</f>
        <v/>
      </c>
    </row>
    <row r="26" ht="15.75" customHeight="1" thickBot="1">
      <c r="A26" s="1312" t="n"/>
      <c r="B26" s="1299" t="n"/>
      <c r="C26" s="1299" t="n"/>
      <c r="D26" s="1299" t="n"/>
      <c r="E26" s="1299" t="n"/>
      <c r="F26" s="1312" t="n"/>
      <c r="G26" s="1299" t="n"/>
      <c r="H26" s="1299" t="n"/>
    </row>
    <row r="27" ht="15.75" customHeight="1" thickBot="1">
      <c r="A27" s="1298" t="inlineStr">
        <is>
          <t xml:space="preserve">                    INELIGIBLE CREDIT FOR THE MONTH OFJUN-25</t>
        </is>
      </c>
      <c r="B27" s="972" t="n"/>
      <c r="C27" s="972" t="n"/>
      <c r="D27" s="973" t="n"/>
      <c r="E27" s="1299" t="n"/>
      <c r="F27" s="1299" t="n"/>
      <c r="G27" s="1299" t="n"/>
      <c r="H27" s="1299" t="n"/>
    </row>
    <row r="28" ht="15.75" customHeight="1" thickBot="1">
      <c r="A28" s="1300" t="n"/>
      <c r="B28" s="1300" t="n"/>
      <c r="C28" s="1300" t="n"/>
      <c r="D28" s="1300" t="n"/>
      <c r="E28" s="1300" t="n"/>
      <c r="F28" s="1300" t="n"/>
      <c r="G28" s="1300" t="n"/>
      <c r="H28" s="1300" t="n"/>
    </row>
    <row r="29" ht="15.75" customHeight="1" thickBot="1">
      <c r="A29" s="1313" t="inlineStr">
        <is>
          <t>PARTICULARS</t>
        </is>
      </c>
      <c r="B29" s="1314" t="inlineStr">
        <is>
          <t>CGST</t>
        </is>
      </c>
      <c r="C29" s="1314" t="inlineStr">
        <is>
          <t>SGST</t>
        </is>
      </c>
      <c r="D29" s="1314" t="inlineStr">
        <is>
          <t>IGST</t>
        </is>
      </c>
      <c r="E29" s="1301" t="n"/>
      <c r="F29" s="1300" t="n"/>
      <c r="G29" s="1300" t="n"/>
      <c r="H29" s="1300" t="n"/>
    </row>
    <row r="30">
      <c r="A30" s="1315" t="n"/>
      <c r="B30" s="1316" t="n"/>
      <c r="C30" s="1317" t="n"/>
      <c r="D30" s="1318" t="n"/>
      <c r="E30" s="1301" t="n"/>
      <c r="F30" s="1300" t="n"/>
      <c r="G30" s="1300" t="n"/>
      <c r="H30" s="1300" t="n"/>
    </row>
    <row r="31">
      <c r="A31" s="1242" t="inlineStr">
        <is>
          <t xml:space="preserve"> ITC FOR THEJUN-25</t>
        </is>
      </c>
      <c r="B31" s="1319" t="n">
        <v>0</v>
      </c>
      <c r="C31" s="1320">
        <f>+B31</f>
        <v/>
      </c>
      <c r="D31" s="1321" t="n">
        <v>0</v>
      </c>
      <c r="E31" s="1322" t="n"/>
      <c r="F31" s="1300" t="n"/>
      <c r="G31" s="1300" t="n"/>
      <c r="H31" s="1300" t="n"/>
    </row>
    <row r="32">
      <c r="A32" s="1323" t="inlineStr">
        <is>
          <t>Direct Exp.</t>
        </is>
      </c>
      <c r="B32" s="1319" t="n">
        <v>0</v>
      </c>
      <c r="C32" s="1320">
        <f>+B32</f>
        <v/>
      </c>
      <c r="D32" s="1321" t="n"/>
      <c r="E32" s="1322" t="n"/>
      <c r="F32" s="1300" t="n"/>
      <c r="G32" s="1300" t="n"/>
      <c r="H32" s="1300" t="n"/>
    </row>
    <row r="33">
      <c r="A33" s="1323" t="inlineStr">
        <is>
          <t>Indirect Exp.</t>
        </is>
      </c>
      <c r="B33" s="1319" t="n">
        <v>0</v>
      </c>
      <c r="C33" s="1320">
        <f>+B33</f>
        <v/>
      </c>
      <c r="D33" s="1321" t="n"/>
      <c r="E33" s="1322" t="n"/>
      <c r="F33" s="1300" t="n"/>
      <c r="G33" s="1300" t="n"/>
      <c r="H33" s="1300" t="n"/>
    </row>
    <row r="34">
      <c r="A34" s="1242" t="inlineStr">
        <is>
          <t>Add: Ineligible ITC (whole year adjustment)</t>
        </is>
      </c>
      <c r="B34" s="1319" t="n"/>
      <c r="C34" s="1320">
        <f>+B34</f>
        <v/>
      </c>
      <c r="D34" s="1321" t="n"/>
      <c r="E34" s="1322" t="n"/>
      <c r="F34" s="1300" t="n"/>
      <c r="G34" s="1300" t="n"/>
      <c r="H34" s="1300" t="n"/>
    </row>
    <row r="35">
      <c r="A35" s="1242" t="inlineStr">
        <is>
          <t>Add: Ineligible ITC  FOR RCM</t>
        </is>
      </c>
      <c r="B35" s="1319">
        <f>+D25</f>
        <v/>
      </c>
      <c r="C35" s="1319">
        <f>+E25</f>
        <v/>
      </c>
      <c r="D35" s="1321" t="n"/>
      <c r="E35" s="1322" t="n"/>
      <c r="F35" s="1300" t="n"/>
      <c r="G35" s="1300" t="n"/>
      <c r="H35" s="1300" t="n"/>
    </row>
    <row r="36" ht="15.75" customHeight="1" thickBot="1">
      <c r="A36" s="1324" t="inlineStr">
        <is>
          <t xml:space="preserve">         Total ineligible CENVAYT</t>
        </is>
      </c>
      <c r="B36" s="1325">
        <f>SUM(B31:B35)</f>
        <v/>
      </c>
      <c r="C36" s="1325">
        <f>SUM(C31:C35)</f>
        <v/>
      </c>
      <c r="D36" s="1326">
        <f>SUM(D31:D31)</f>
        <v/>
      </c>
      <c r="E36" s="1322" t="n"/>
      <c r="F36" s="1327" t="n"/>
      <c r="G36" s="1327" t="n"/>
      <c r="H36" s="1327" t="n"/>
    </row>
    <row r="37" ht="15.75" customHeight="1" thickBot="1">
      <c r="A37" s="1328" t="inlineStr">
        <is>
          <t>TOTAL</t>
        </is>
      </c>
      <c r="B37" s="1329">
        <f>SUM(B36:B36)</f>
        <v/>
      </c>
      <c r="C37" s="1329">
        <f>SUM(C36:C36)</f>
        <v/>
      </c>
      <c r="D37" s="1329">
        <f>SUM(D36:D36)</f>
        <v/>
      </c>
      <c r="E37" s="1299" t="n"/>
      <c r="F37" s="1299" t="n"/>
      <c r="G37" s="1299" t="n"/>
      <c r="H37" s="1300" t="n"/>
    </row>
    <row r="38">
      <c r="A38" s="1312" t="n"/>
      <c r="B38" s="1299" t="n"/>
      <c r="C38" s="1299" t="n"/>
      <c r="D38" s="1299" t="n"/>
      <c r="E38" s="1299" t="n"/>
      <c r="F38" s="1300" t="n"/>
      <c r="G38" s="1300" t="n"/>
      <c r="H38" s="1300" t="n"/>
    </row>
    <row r="39" ht="15.75" customHeight="1" thickBot="1"/>
    <row r="40" ht="15.75" customHeight="1" thickBot="1">
      <c r="A40" s="1298" t="inlineStr">
        <is>
          <t xml:space="preserve">                GST Payable for the month ofJUN-25</t>
        </is>
      </c>
      <c r="B40" s="972" t="n"/>
      <c r="C40" s="972" t="n"/>
      <c r="D40" s="973" t="n"/>
      <c r="E40" s="1299" t="n"/>
      <c r="F40" s="1299" t="n"/>
      <c r="G40" s="1299" t="n"/>
    </row>
    <row r="41" ht="15.75" customHeight="1" thickBot="1">
      <c r="C41" s="25" t="n"/>
      <c r="D41" s="25" t="n"/>
      <c r="E41" s="1330" t="n"/>
    </row>
    <row r="42" ht="18" customHeight="1" thickBot="1">
      <c r="A42" s="1313" t="inlineStr">
        <is>
          <t>PARTICULARS</t>
        </is>
      </c>
      <c r="B42" s="1314" t="inlineStr">
        <is>
          <t>CGST</t>
        </is>
      </c>
      <c r="C42" s="1314" t="inlineStr">
        <is>
          <t>SGST</t>
        </is>
      </c>
      <c r="D42" s="1314" t="inlineStr">
        <is>
          <t>TOTAL</t>
        </is>
      </c>
      <c r="E42" s="27" t="n"/>
    </row>
    <row r="43">
      <c r="A43" s="28" t="n"/>
      <c r="B43" s="1319" t="n"/>
      <c r="C43" s="1319" t="n"/>
      <c r="D43" s="1319" t="n"/>
      <c r="E43" s="1300" t="n"/>
    </row>
    <row r="44">
      <c r="A44" s="30">
        <f>+A6</f>
        <v/>
      </c>
      <c r="B44" s="1319">
        <f>+D13</f>
        <v/>
      </c>
      <c r="C44" s="1319">
        <f>+E13</f>
        <v/>
      </c>
      <c r="D44" s="1319">
        <f>+F13</f>
        <v/>
      </c>
      <c r="E44" s="1322" t="n"/>
    </row>
    <row r="45" ht="15.75" customHeight="1" thickBot="1">
      <c r="A45" s="28" t="n"/>
      <c r="B45" s="1331" t="n"/>
      <c r="C45" s="1331" t="n"/>
      <c r="D45" s="1331" t="n"/>
      <c r="E45" s="1322" t="n"/>
    </row>
    <row r="46">
      <c r="A46" s="28" t="inlineStr">
        <is>
          <t>TOTAL PAYABLE FOR RESIDENTIAL INCLUDING IGST</t>
        </is>
      </c>
      <c r="B46" s="1319">
        <f>+B44+B45</f>
        <v/>
      </c>
      <c r="C46" s="1319">
        <f>+C44+C45</f>
        <v/>
      </c>
      <c r="D46" s="1319">
        <f>+D44+D45</f>
        <v/>
      </c>
      <c r="E46" s="1322" t="n"/>
    </row>
    <row r="47">
      <c r="A47" s="28" t="n"/>
      <c r="B47" s="1319" t="n"/>
      <c r="C47" s="1319" t="n"/>
      <c r="D47" s="1319" t="n"/>
      <c r="E47" s="1322" t="n"/>
    </row>
    <row r="48">
      <c r="A48" s="1309" t="inlineStr">
        <is>
          <t>GST UNDER RCM</t>
        </is>
      </c>
      <c r="B48" s="1319" t="n"/>
      <c r="C48" s="1319" t="n"/>
      <c r="D48" s="1319" t="n"/>
      <c r="E48" s="1322" t="n"/>
    </row>
    <row r="49">
      <c r="A49" s="28" t="n"/>
      <c r="B49" s="1319">
        <f>+D25</f>
        <v/>
      </c>
      <c r="C49" s="1319">
        <f>B49</f>
        <v/>
      </c>
      <c r="D49" s="1319">
        <f>+B49+C49</f>
        <v/>
      </c>
      <c r="E49" s="1322" t="n"/>
    </row>
    <row r="50" ht="15.75" customHeight="1" thickBot="1">
      <c r="A50" s="28" t="inlineStr">
        <is>
          <t>SUN OFFICE</t>
        </is>
      </c>
      <c r="B50" s="1319" t="n"/>
      <c r="C50" s="1319" t="n"/>
      <c r="D50" s="1319">
        <f>+B50+C50</f>
        <v/>
      </c>
      <c r="E50" s="1322" t="n"/>
    </row>
    <row r="51" ht="15.75" customHeight="1" thickBot="1">
      <c r="A51" s="31" t="inlineStr">
        <is>
          <t xml:space="preserve">            GST Payable</t>
        </is>
      </c>
      <c r="B51" s="1332">
        <f>+B46+B49+B50</f>
        <v/>
      </c>
      <c r="C51" s="1332">
        <f>+C46+C49+C50</f>
        <v/>
      </c>
      <c r="D51" s="1332">
        <f>+D46+D49+D50</f>
        <v/>
      </c>
      <c r="E51" s="1333" t="n"/>
      <c r="F51" s="985" t="n"/>
      <c r="G51" s="985" t="n"/>
    </row>
    <row r="52" ht="15.75" customHeight="1" thickBot="1">
      <c r="A52" s="31" t="inlineStr">
        <is>
          <t xml:space="preserve">           Net GST Payable</t>
        </is>
      </c>
      <c r="B52" s="1332">
        <f>+B51</f>
        <v/>
      </c>
      <c r="C52" s="1332">
        <f>+C51</f>
        <v/>
      </c>
      <c r="D52" s="1332">
        <f>+D51</f>
        <v/>
      </c>
      <c r="E52" s="1333" t="n"/>
      <c r="F52" s="76" t="n"/>
      <c r="G52" s="985" t="n"/>
    </row>
  </sheetData>
  <mergeCells count="5">
    <mergeCell ref="A40:D40"/>
    <mergeCell ref="G23:M23"/>
    <mergeCell ref="A27:D27"/>
    <mergeCell ref="B16:H16"/>
    <mergeCell ref="A15:F15"/>
  </mergeCells>
  <hyperlinks>
    <hyperlink xmlns:r="http://schemas.openxmlformats.org/officeDocument/2006/relationships" ref="E4" r:id="rId1"/>
    <hyperlink xmlns:r="http://schemas.openxmlformats.org/officeDocument/2006/relationships" ref="E17" r:id="rId2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12">
    <outlinePr summaryBelow="1" summaryRight="1"/>
    <pageSetUpPr fitToPage="1"/>
  </sheetPr>
  <dimension ref="A1:XFD175"/>
  <sheetViews>
    <sheetView tabSelected="1" topLeftCell="A137" zoomScale="85" zoomScaleNormal="85" zoomScaleSheetLayoutView="100" workbookViewId="0">
      <selection activeCell="G104" sqref="G104"/>
    </sheetView>
  </sheetViews>
  <sheetFormatPr baseColWidth="8" defaultColWidth="9" defaultRowHeight="14.25"/>
  <cols>
    <col width="92.85546875" bestFit="1" customWidth="1" style="1" min="1" max="1"/>
    <col width="22.28515625" bestFit="1" customWidth="1" style="1" min="2" max="2"/>
    <col width="19.28515625" bestFit="1" customWidth="1" style="1" min="3" max="3"/>
    <col width="20.42578125" bestFit="1" customWidth="1" style="1" min="4" max="4"/>
    <col width="14.5703125" bestFit="1" customWidth="1" style="1" min="5" max="5"/>
    <col width="16.42578125" bestFit="1" customWidth="1" style="1" min="6" max="6"/>
    <col width="20" bestFit="1" customWidth="1" style="1" min="7" max="7"/>
    <col width="18" bestFit="1" customWidth="1" style="1" min="8" max="8"/>
    <col width="13.42578125" bestFit="1" customWidth="1" style="674" min="9" max="9"/>
    <col width="13.28515625" bestFit="1" customWidth="1" style="1" min="10" max="10"/>
    <col width="16.42578125" bestFit="1" customWidth="1" style="1" min="11" max="11"/>
    <col width="14.28515625" bestFit="1" customWidth="1" style="1" min="12" max="12"/>
    <col width="13.28515625" bestFit="1" customWidth="1" style="1" min="13" max="15"/>
    <col width="9" customWidth="1" style="1" min="16" max="16383"/>
    <col width="9.140625" bestFit="1" customWidth="1" style="1" min="16384" max="16384"/>
  </cols>
  <sheetData>
    <row r="1"/>
    <row r="2" ht="15" customHeight="1" thickBot="1"/>
    <row r="3" ht="33" customHeight="1" thickBot="1">
      <c r="A3" s="573" t="inlineStr">
        <is>
          <t>Sun Realty</t>
        </is>
      </c>
      <c r="B3" s="574" t="n"/>
      <c r="C3" s="574" t="n"/>
      <c r="D3" s="574" t="n"/>
      <c r="E3" s="574" t="n"/>
      <c r="F3" s="574" t="n"/>
      <c r="G3" s="574" t="n"/>
      <c r="H3" s="575" t="n"/>
    </row>
    <row r="4" ht="15" customHeight="1" thickBot="1">
      <c r="A4" s="1203" t="inlineStr">
        <is>
          <t xml:space="preserve">                      GST PAYABLE ON COMMERCIAL CONSTRUCTION  FOR THE MONTH OF AUG-26</t>
        </is>
      </c>
      <c r="B4" s="1204" t="n"/>
      <c r="C4" s="1204" t="n"/>
      <c r="D4" s="1204" t="n"/>
      <c r="E4" s="1204" t="n"/>
      <c r="F4" s="1204" t="n"/>
      <c r="G4" s="1204" t="n"/>
      <c r="H4" s="1205" t="n"/>
    </row>
    <row r="5" ht="15" customHeight="1" thickBot="1"/>
    <row r="6" ht="26.25" customHeight="1" thickBot="1">
      <c r="A6" s="1334" t="inlineStr">
        <is>
          <t>Supply</t>
        </is>
      </c>
      <c r="B6" s="1334" t="inlineStr">
        <is>
          <t>AMOUNT</t>
        </is>
      </c>
      <c r="C6" s="1334" t="inlineStr">
        <is>
          <t>LAND VALUE (1/3)</t>
        </is>
      </c>
      <c r="D6" s="1334" t="inlineStr">
        <is>
          <t>TAXABLE VALUE (2/3)</t>
        </is>
      </c>
      <c r="E6" s="1334" t="inlineStr">
        <is>
          <t>RATE</t>
        </is>
      </c>
      <c r="F6" s="1334" t="inlineStr">
        <is>
          <t xml:space="preserve">CGST </t>
        </is>
      </c>
      <c r="G6" s="1334" t="inlineStr">
        <is>
          <t>SGST</t>
        </is>
      </c>
      <c r="H6" s="1334" t="inlineStr">
        <is>
          <t>TOTAL</t>
        </is>
      </c>
      <c r="J6" s="1335" t="n"/>
      <c r="K6" s="1335" t="n"/>
      <c r="L6" s="1335" t="n"/>
      <c r="M6" s="1335" t="n"/>
      <c r="N6" s="1335" t="n"/>
      <c r="O6" s="1335" t="n"/>
    </row>
    <row r="7" ht="15" customHeight="1" thickBot="1">
      <c r="A7" s="1336" t="n"/>
      <c r="B7" s="999" t="n"/>
      <c r="C7" s="1000" t="n"/>
      <c r="D7" s="999" t="n"/>
      <c r="E7" s="999" t="n"/>
      <c r="F7" s="1000" t="n"/>
      <c r="G7" s="1335" t="n"/>
      <c r="H7" s="1120" t="n"/>
      <c r="J7" s="1007" t="n"/>
      <c r="K7" s="638" t="n"/>
      <c r="L7" s="1007" t="n"/>
      <c r="M7" s="342" t="n"/>
      <c r="N7" s="342" t="n"/>
      <c r="O7" s="342" t="n"/>
    </row>
    <row r="8">
      <c r="A8" s="1337" t="inlineStr">
        <is>
          <t>SUN GRAVITAS advance</t>
        </is>
      </c>
      <c r="B8" s="1338">
        <f>+'SUN REALTY-CALC'!B19</f>
        <v/>
      </c>
      <c r="C8" s="1338">
        <f>+'SUN REALTY-CALC'!C19</f>
        <v/>
      </c>
      <c r="D8" s="1338">
        <f>+'SUN REALTY-CALC'!D19</f>
        <v/>
      </c>
      <c r="E8" s="713" t="n">
        <v>0.18</v>
      </c>
      <c r="F8" s="1338">
        <f>+'SUN REALTY-CALC'!F19</f>
        <v/>
      </c>
      <c r="G8" s="1338">
        <f>+'SUN REALTY-CALC'!G19</f>
        <v/>
      </c>
      <c r="H8" s="1339">
        <f>+'SUN REALTY-CALC'!H19</f>
        <v/>
      </c>
      <c r="I8" s="442" t="n"/>
      <c r="J8" s="1007" t="n"/>
      <c r="K8" s="638" t="n"/>
      <c r="L8" s="1007" t="n"/>
      <c r="M8" s="342" t="n"/>
      <c r="N8" s="342" t="n"/>
      <c r="O8" s="342" t="n"/>
    </row>
    <row r="9">
      <c r="A9" s="1340" t="inlineStr">
        <is>
          <t>SUN GRAVITAS Payable due to Adjustment of Advances against Sale Deed Executed</t>
        </is>
      </c>
      <c r="B9" s="1177">
        <f>'SUN REALTY-CALC'!B12</f>
        <v/>
      </c>
      <c r="C9" s="1177" t="n"/>
      <c r="D9" s="982">
        <f>+'SUN REALTY-CALC'!D16</f>
        <v/>
      </c>
      <c r="E9" s="734" t="n">
        <v>0.18</v>
      </c>
      <c r="F9" s="982">
        <f>+'SUN REALTY-CALC'!F12</f>
        <v/>
      </c>
      <c r="G9" s="982">
        <f>+F9</f>
        <v/>
      </c>
      <c r="H9" s="1092">
        <f>+F9+G9</f>
        <v/>
      </c>
      <c r="I9" s="442" t="n"/>
      <c r="J9" s="1007" t="n"/>
      <c r="K9" s="638" t="n"/>
      <c r="L9" s="1007" t="n"/>
      <c r="M9" s="342" t="n"/>
      <c r="N9" s="342" t="n"/>
      <c r="O9" s="342" t="n"/>
    </row>
    <row r="10">
      <c r="A10" s="1341" t="inlineStr">
        <is>
          <t>SUN GRAVITAS Exempt Income</t>
        </is>
      </c>
      <c r="B10" s="1342">
        <f>+'SUN REALTY-CALC'!B26+'SUN REALTY-CALC'!B27</f>
        <v/>
      </c>
      <c r="C10" s="1177" t="n"/>
      <c r="D10" s="982" t="n"/>
      <c r="E10" s="734" t="n"/>
      <c r="F10" s="982" t="n"/>
      <c r="G10" s="982" t="n"/>
      <c r="H10" s="1092" t="n"/>
      <c r="I10" s="442" t="n"/>
      <c r="J10" s="1007" t="n"/>
      <c r="K10" s="638" t="n"/>
      <c r="L10" s="1007" t="n"/>
      <c r="M10" s="342" t="n"/>
      <c r="N10" s="342" t="n"/>
      <c r="O10" s="342" t="n"/>
    </row>
    <row r="11">
      <c r="A11" s="1343" t="inlineStr">
        <is>
          <t>Extra work Income (B2C)</t>
        </is>
      </c>
      <c r="B11" s="1344">
        <f>+'SUN REALTY-CALC'!D24</f>
        <v/>
      </c>
      <c r="C11" s="1177" t="n"/>
      <c r="D11" s="982">
        <f>+B11</f>
        <v/>
      </c>
      <c r="E11" s="734" t="n">
        <v>0.18</v>
      </c>
      <c r="F11" s="982">
        <f>+'SUN REALTY-CALC'!F24</f>
        <v/>
      </c>
      <c r="G11" s="982">
        <f>+F11</f>
        <v/>
      </c>
      <c r="H11" s="1092">
        <f>+F11+G11</f>
        <v/>
      </c>
      <c r="I11" s="442" t="n"/>
      <c r="J11" s="1007" t="n"/>
      <c r="K11" s="638" t="n"/>
      <c r="L11" s="1007" t="n"/>
      <c r="M11" s="342" t="n"/>
      <c r="N11" s="342" t="n"/>
      <c r="O11" s="342" t="n"/>
    </row>
    <row r="12">
      <c r="A12" s="1340" t="inlineStr">
        <is>
          <t>Advance adjusted  for same</t>
        </is>
      </c>
      <c r="B12" s="1344">
        <f>+'SUN REALTY-CALC'!D25</f>
        <v/>
      </c>
      <c r="C12" s="1177" t="n"/>
      <c r="D12" s="982">
        <f>+B12</f>
        <v/>
      </c>
      <c r="E12" s="734" t="n">
        <v>0.18</v>
      </c>
      <c r="F12" s="982">
        <f>+'SUN REALTY-CALC'!F25</f>
        <v/>
      </c>
      <c r="G12" s="982">
        <f>+F12</f>
        <v/>
      </c>
      <c r="H12" s="1092">
        <f>+F12+G12</f>
        <v/>
      </c>
      <c r="I12" s="442" t="n"/>
      <c r="J12" s="1007" t="n"/>
      <c r="K12" s="638" t="n"/>
      <c r="L12" s="1007" t="n"/>
      <c r="M12" s="342" t="n"/>
      <c r="N12" s="342" t="n"/>
      <c r="O12" s="342" t="n"/>
    </row>
    <row r="13">
      <c r="A13" s="1343" t="inlineStr">
        <is>
          <t>Cancellation Charges Income (B2C)</t>
        </is>
      </c>
      <c r="B13" s="1344">
        <f>+'SUN REALTY-CALC'!D21</f>
        <v/>
      </c>
      <c r="C13" s="1344" t="n"/>
      <c r="D13" s="1344">
        <f>+'SUN REALTY-CALC'!D22</f>
        <v/>
      </c>
      <c r="E13" s="734" t="n">
        <v>0.18</v>
      </c>
      <c r="F13" s="1344">
        <f>D13*E13/2</f>
        <v/>
      </c>
      <c r="G13" s="1344">
        <f>+F13</f>
        <v/>
      </c>
      <c r="H13" s="1345">
        <f>+F13+G13</f>
        <v/>
      </c>
      <c r="I13" s="442" t="n"/>
      <c r="J13" s="1007" t="n"/>
      <c r="K13" s="638" t="n"/>
      <c r="L13" s="1007" t="n"/>
      <c r="M13" s="342" t="n"/>
      <c r="N13" s="342" t="n"/>
      <c r="O13" s="342" t="n"/>
      <c r="XFD13" s="1346">
        <f>+'SUN REALTY-CALC'!XFD28</f>
        <v/>
      </c>
    </row>
    <row r="14" ht="15" customHeight="1" thickBot="1">
      <c r="A14" s="1054" t="inlineStr">
        <is>
          <t>Advance adjusted  for same</t>
        </is>
      </c>
      <c r="B14" s="1347">
        <f>+'SUN REALTY-CALC'!D23</f>
        <v/>
      </c>
      <c r="C14" s="1347" t="n"/>
      <c r="D14" s="1347">
        <f>+B14</f>
        <v/>
      </c>
      <c r="E14" s="719" t="n">
        <v>0.18</v>
      </c>
      <c r="F14" s="1347">
        <f>D14*E14/2</f>
        <v/>
      </c>
      <c r="G14" s="1347">
        <f>+F14</f>
        <v/>
      </c>
      <c r="H14" s="1348">
        <f>+F14+G14</f>
        <v/>
      </c>
      <c r="I14" s="442" t="n"/>
      <c r="J14" s="1007" t="n"/>
      <c r="K14" s="638" t="n"/>
      <c r="L14" s="1007" t="n"/>
      <c r="M14" s="342" t="n"/>
      <c r="N14" s="342" t="n"/>
      <c r="O14" s="342" t="n"/>
      <c r="XFD14" s="1032" t="n"/>
    </row>
    <row r="15" ht="15" customHeight="1" thickBot="1">
      <c r="A15" s="1002" t="n"/>
      <c r="B15" s="1349" t="n"/>
      <c r="C15" s="1349" t="n"/>
      <c r="D15" s="1349" t="n"/>
      <c r="E15" s="663" t="n"/>
      <c r="F15" s="1349" t="n"/>
      <c r="G15" s="1349" t="n"/>
      <c r="H15" s="1349" t="n"/>
      <c r="I15" s="442" t="n"/>
      <c r="J15" s="1007" t="n"/>
      <c r="K15" s="638" t="n"/>
      <c r="L15" s="1007" t="n"/>
      <c r="M15" s="342" t="n"/>
      <c r="N15" s="342" t="n"/>
      <c r="O15" s="342" t="n"/>
      <c r="XFD15" s="1032" t="n"/>
    </row>
    <row r="16">
      <c r="A16" s="1337" t="inlineStr">
        <is>
          <t>SUN REALTY ATMOSPHERE RESIDENTIAL</t>
        </is>
      </c>
      <c r="B16" s="1338">
        <f>+'SUN REALTY ATMOS-CALC'!B15</f>
        <v/>
      </c>
      <c r="C16" s="1338" t="n"/>
      <c r="D16" s="1350">
        <f>+B16</f>
        <v/>
      </c>
      <c r="E16" s="713" t="n">
        <v>0.01</v>
      </c>
      <c r="F16" s="1338">
        <f>D16*E16/2</f>
        <v/>
      </c>
      <c r="G16" s="1350">
        <f>+F16</f>
        <v/>
      </c>
      <c r="H16" s="1351">
        <f>G16+F16</f>
        <v/>
      </c>
      <c r="I16" s="641" t="n"/>
      <c r="J16" s="1007" t="n"/>
    </row>
    <row r="17">
      <c r="A17" s="1340" t="inlineStr">
        <is>
          <t>SUN REALTY ATMOSPHERE RESIDENTIAL More Than 5%</t>
        </is>
      </c>
      <c r="B17" s="1177">
        <f>+'SUN REALTY ATMOS-CALC'!B24</f>
        <v/>
      </c>
      <c r="C17" s="1177" t="n"/>
      <c r="D17" s="982">
        <f>B17</f>
        <v/>
      </c>
      <c r="E17" s="734" t="n">
        <v>0.05</v>
      </c>
      <c r="F17" s="1177">
        <f>D17*E17/2</f>
        <v/>
      </c>
      <c r="G17" s="982">
        <f>+F17</f>
        <v/>
      </c>
      <c r="H17" s="1092">
        <f>G17+F17</f>
        <v/>
      </c>
      <c r="J17" s="1007" t="n"/>
      <c r="K17" s="1007" t="n"/>
    </row>
    <row r="18">
      <c r="A18" s="1340" t="inlineStr">
        <is>
          <t>SUN REALTY ATMOSPHERE COMMERCIAL</t>
        </is>
      </c>
      <c r="B18" s="1177">
        <f>+'SUN REALTY ATMOS-CALC'!B30</f>
        <v/>
      </c>
      <c r="C18" s="1177" t="n"/>
      <c r="D18" s="982">
        <f>+'SUN REALTY ATMOS-CALC'!B26+'SUN REALTY ATMOS-CALC'!B27</f>
        <v/>
      </c>
      <c r="E18" s="734" t="n">
        <v>0.05</v>
      </c>
      <c r="F18" s="1177">
        <f>D18*E18/2</f>
        <v/>
      </c>
      <c r="G18" s="982">
        <f>+F18</f>
        <v/>
      </c>
      <c r="H18" s="1092">
        <f>G18+F18</f>
        <v/>
      </c>
      <c r="I18" s="641" t="n"/>
      <c r="J18" s="1007" t="n"/>
    </row>
    <row r="19">
      <c r="A19" s="1340" t="inlineStr">
        <is>
          <t>SUN REALTY ATMOSPHERE COMMERCIAL PLC</t>
        </is>
      </c>
      <c r="B19" s="1177">
        <f>+'SUN REALTY ATMOS-CALC'!B25+'SUN REALTY ATMOS-CALC'!B20</f>
        <v/>
      </c>
      <c r="C19" s="1177" t="n"/>
      <c r="D19" s="982">
        <f>+B19</f>
        <v/>
      </c>
      <c r="E19" s="734" t="n">
        <v>0.18</v>
      </c>
      <c r="F19" s="982">
        <f>D19*E19/2</f>
        <v/>
      </c>
      <c r="G19" s="1177">
        <f>+F19</f>
        <v/>
      </c>
      <c r="H19" s="1092">
        <f>G19+F19</f>
        <v/>
      </c>
      <c r="I19" s="641" t="n"/>
      <c r="J19" s="1007" t="n"/>
    </row>
    <row r="20">
      <c r="A20" s="1340" t="inlineStr">
        <is>
          <t>Cancellation Charges Income (B2C)</t>
        </is>
      </c>
      <c r="B20" s="1177" t="n">
        <v>0</v>
      </c>
      <c r="C20" s="1177" t="n"/>
      <c r="D20" s="982">
        <f>B20</f>
        <v/>
      </c>
      <c r="E20" s="734" t="n">
        <v>0.18</v>
      </c>
      <c r="F20" s="982">
        <f>D20*E20/2</f>
        <v/>
      </c>
      <c r="G20" s="1177">
        <f>+F20</f>
        <v/>
      </c>
      <c r="H20" s="1092">
        <f>G20+F20</f>
        <v/>
      </c>
      <c r="I20" s="641" t="n"/>
      <c r="J20" s="1007" t="n"/>
    </row>
    <row r="21" ht="15" customHeight="1" thickBot="1">
      <c r="A21" s="1352" t="inlineStr">
        <is>
          <t>SUN Atmoshphere Exempt Income</t>
        </is>
      </c>
      <c r="B21" s="1353">
        <f>+'SUN REALTY ATMOS-CALC'!B34</f>
        <v/>
      </c>
      <c r="C21" s="1192" t="n"/>
      <c r="D21" s="1354" t="n"/>
      <c r="E21" s="719" t="n"/>
      <c r="F21" s="1354" t="n"/>
      <c r="G21" s="1192" t="n"/>
      <c r="H21" s="1355" t="n"/>
      <c r="I21" s="641" t="n"/>
      <c r="J21" s="1007" t="n"/>
    </row>
    <row r="22" ht="15" customHeight="1" thickBot="1">
      <c r="A22" s="1002" t="n"/>
      <c r="B22" s="1346" t="n"/>
      <c r="C22" s="1017" t="n"/>
      <c r="D22" s="1004" t="n"/>
      <c r="E22" s="663" t="n"/>
      <c r="F22" s="1004" t="n"/>
      <c r="G22" s="1004" t="n"/>
      <c r="H22" s="1004" t="n"/>
      <c r="I22" s="641" t="n"/>
      <c r="J22" s="1007" t="n"/>
    </row>
    <row r="23">
      <c r="A23" s="1337" t="inlineStr">
        <is>
          <t>SUN REALTY  FOOTPRINT RESIDENTIAL</t>
        </is>
      </c>
      <c r="B23" s="1338">
        <f>+'FOOTPRINT- CALCULATION'!B6+'FOOTPRINT- CALCULATION'!B7+'FOOTPRINT- CALCULATION'!B8</f>
        <v/>
      </c>
      <c r="C23" s="1338" t="n"/>
      <c r="D23" s="1350">
        <f>B23</f>
        <v/>
      </c>
      <c r="E23" s="713" t="n">
        <v>0.01</v>
      </c>
      <c r="F23" s="1350">
        <f>B23*E23/2</f>
        <v/>
      </c>
      <c r="G23" s="1350">
        <f>+F23</f>
        <v/>
      </c>
      <c r="H23" s="1351">
        <f>G23+F23</f>
        <v/>
      </c>
      <c r="I23" s="1007" t="n"/>
    </row>
    <row r="24">
      <c r="A24" s="1340" t="inlineStr">
        <is>
          <t>SUN REALTY FOOTPRINT COMMERCIAL</t>
        </is>
      </c>
      <c r="B24" s="1177">
        <f>'FOOTPRINT- CALCULATION'!B11+'FOOTPRINT- CALCULATION'!B12</f>
        <v/>
      </c>
      <c r="C24" s="1177" t="n"/>
      <c r="D24" s="982">
        <f>B24</f>
        <v/>
      </c>
      <c r="E24" s="734" t="n">
        <v>0.05</v>
      </c>
      <c r="F24" s="982">
        <f>'FOOTPRINT- CALCULATION'!D11+'FOOTPRINT- CALCULATION'!D12</f>
        <v/>
      </c>
      <c r="G24" s="982">
        <f>+F24</f>
        <v/>
      </c>
      <c r="H24" s="1092">
        <f>G24+F24</f>
        <v/>
      </c>
      <c r="I24" s="1007" t="n"/>
      <c r="J24" s="1007" t="n"/>
    </row>
    <row r="25" ht="15" customHeight="1" thickBot="1">
      <c r="A25" s="1356" t="inlineStr">
        <is>
          <t>Cancellation Charges Income (B2C)</t>
        </is>
      </c>
      <c r="B25" s="1192">
        <f>+D25</f>
        <v/>
      </c>
      <c r="C25" s="1192" t="n"/>
      <c r="D25" s="1192">
        <f>+'FOOTPRINT- CALCULATION'!B16</f>
        <v/>
      </c>
      <c r="E25" s="719" t="n">
        <v>0.18</v>
      </c>
      <c r="F25" s="1192">
        <f>D25*E25/2</f>
        <v/>
      </c>
      <c r="G25" s="1354">
        <f>+'FOOTPRINT- CALCULATION'!E16</f>
        <v/>
      </c>
      <c r="H25" s="1355">
        <f>+'FOOTPRINT- CALCULATION'!F16</f>
        <v/>
      </c>
      <c r="I25" s="641" t="n"/>
      <c r="J25" s="1007" t="n"/>
      <c r="K25" s="330" t="n"/>
    </row>
    <row r="26" ht="15" customHeight="1" thickBot="1">
      <c r="A26" s="1352" t="inlineStr">
        <is>
          <t>SUN Footprint Exempt Income</t>
        </is>
      </c>
      <c r="B26" s="1353">
        <f>+'FOOTPRINT- CALCULATION'!B17</f>
        <v/>
      </c>
      <c r="C26" s="1017" t="n"/>
      <c r="D26" s="1017" t="n"/>
      <c r="E26" s="663" t="n"/>
      <c r="F26" s="1017" t="n"/>
      <c r="G26" s="1004" t="n"/>
      <c r="H26" s="1211" t="n"/>
      <c r="I26" s="641" t="n"/>
      <c r="J26" s="1007" t="n"/>
      <c r="K26" s="330" t="n"/>
    </row>
    <row r="27" ht="15" customHeight="1" thickBot="1">
      <c r="A27" s="1002" t="n"/>
      <c r="B27" s="1017" t="n"/>
      <c r="C27" s="1017" t="n"/>
      <c r="D27" s="1004" t="n"/>
      <c r="E27" s="663" t="n"/>
      <c r="F27" s="1004" t="n"/>
      <c r="G27" s="1004" t="n"/>
      <c r="H27" s="1004" t="n"/>
    </row>
    <row r="28">
      <c r="A28" s="1337" t="inlineStr">
        <is>
          <t>SUN REALTY - SUN PARK WEST RESIDENTIAL</t>
        </is>
      </c>
      <c r="B28" s="1338">
        <f>+'SUN PARK WEST'!B6+'SUN PARK WEST'!B8+'SUN PARK WEST'!B9+'SUN PARK WEST'!B7</f>
        <v/>
      </c>
      <c r="C28" s="1338" t="n"/>
      <c r="D28" s="1350">
        <f>B28</f>
        <v/>
      </c>
      <c r="E28" s="713" t="n">
        <v>0.01</v>
      </c>
      <c r="F28" s="1350">
        <f>D28*E28/2</f>
        <v/>
      </c>
      <c r="G28" s="1350">
        <f>+F28</f>
        <v/>
      </c>
      <c r="H28" s="1351">
        <f>+G28+F28</f>
        <v/>
      </c>
      <c r="I28" s="1007" t="n"/>
    </row>
    <row r="29">
      <c r="A29" s="1340" t="inlineStr">
        <is>
          <t>SUN REALTY - SUN PARK WEST RESIDENTIAL More than 45 lacs</t>
        </is>
      </c>
      <c r="B29" s="1177">
        <f>+'SUN PARK WEST'!B10+'SUN PARK WEST'!B12+'SUN PARK WEST'!B11</f>
        <v/>
      </c>
      <c r="C29" s="1177" t="n"/>
      <c r="D29" s="982">
        <f>+B29</f>
        <v/>
      </c>
      <c r="E29" s="734" t="n">
        <v>0.05</v>
      </c>
      <c r="F29" s="982">
        <f>D29*E29/2</f>
        <v/>
      </c>
      <c r="G29" s="982">
        <f>+F29</f>
        <v/>
      </c>
      <c r="H29" s="1092">
        <f>+G29+F29</f>
        <v/>
      </c>
      <c r="I29" s="1007" t="n"/>
    </row>
    <row r="30" ht="15" customHeight="1" thickBot="1">
      <c r="A30" s="1054" t="inlineStr">
        <is>
          <t>SUN REALTY -SUN PARK WEST COMMERCIAL</t>
        </is>
      </c>
      <c r="B30" s="1192">
        <f>+'SUN PARK WEST'!B14+'SUN PARK WEST'!B15</f>
        <v/>
      </c>
      <c r="C30" s="1192" t="n"/>
      <c r="D30" s="1354">
        <f>+B30</f>
        <v/>
      </c>
      <c r="E30" s="719" t="n">
        <v>0.05</v>
      </c>
      <c r="F30" s="1354">
        <f>D30*E30/2</f>
        <v/>
      </c>
      <c r="G30" s="1354">
        <f>+F30</f>
        <v/>
      </c>
      <c r="H30" s="1355">
        <f>+G30+F30</f>
        <v/>
      </c>
    </row>
    <row r="31" ht="15" customHeight="1" thickBot="1">
      <c r="A31" s="1002" t="n"/>
      <c r="B31" s="1017" t="n"/>
      <c r="C31" s="1017" t="n"/>
      <c r="D31" s="1004" t="n"/>
      <c r="E31" s="663" t="n"/>
      <c r="F31" s="1004" t="n"/>
      <c r="G31" s="1004" t="n"/>
      <c r="H31" s="1004" t="n"/>
    </row>
    <row r="32">
      <c r="A32" s="1337" t="inlineStr">
        <is>
          <t>SUN REALTY -SUN SILVER SPRINGS RESIDENTIAL</t>
        </is>
      </c>
      <c r="B32" s="1338">
        <f>+'SUN SILVER SPRING'!B7+'SUN SILVER SPRING'!B8+'SUN SILVER SPRING'!B9</f>
        <v/>
      </c>
      <c r="C32" s="1338" t="n"/>
      <c r="D32" s="1350">
        <f>+B32</f>
        <v/>
      </c>
      <c r="E32" s="713" t="n">
        <v>0.05</v>
      </c>
      <c r="F32" s="1350">
        <f>D32*E32/2</f>
        <v/>
      </c>
      <c r="G32" s="1350">
        <f>+F32</f>
        <v/>
      </c>
      <c r="H32" s="1351">
        <f>+G32+F32</f>
        <v/>
      </c>
      <c r="I32" s="674" t="n"/>
    </row>
    <row r="33" ht="15" customHeight="1" thickBot="1">
      <c r="A33" s="1054" t="inlineStr">
        <is>
          <t>SUN REALTY -SUN SILVER SPRINGS COMMERCIAL</t>
        </is>
      </c>
      <c r="B33" s="1192">
        <f>+'SUN SILVER SPRING'!B11+'SUN SILVER SPRING'!B12</f>
        <v/>
      </c>
      <c r="C33" s="1192" t="n"/>
      <c r="D33" s="1354">
        <f>+B33</f>
        <v/>
      </c>
      <c r="E33" s="719" t="n">
        <v>0.05</v>
      </c>
      <c r="F33" s="1354">
        <f>D33*E33/2</f>
        <v/>
      </c>
      <c r="G33" s="1354">
        <f>+F33</f>
        <v/>
      </c>
      <c r="H33" s="1355">
        <f>+G33+F33</f>
        <v/>
      </c>
      <c r="I33" s="674" t="n"/>
    </row>
    <row r="34" ht="15" customHeight="1" thickBot="1">
      <c r="A34" s="1002" t="n"/>
      <c r="B34" s="1017" t="n"/>
      <c r="C34" s="1017" t="n"/>
      <c r="D34" s="1004" t="n"/>
      <c r="E34" s="663" t="n"/>
      <c r="F34" s="1004" t="n"/>
      <c r="G34" s="1004" t="n"/>
      <c r="H34" s="1004" t="n"/>
      <c r="J34" s="1007" t="n"/>
    </row>
    <row r="35" ht="15.75" customHeight="1" thickBot="1">
      <c r="A35" s="1357" t="inlineStr">
        <is>
          <t>TOTAL</t>
        </is>
      </c>
      <c r="B35" s="1358">
        <f>SUM(B8:B33)</f>
        <v/>
      </c>
      <c r="C35" s="1358">
        <f>SUM(C8:C33)</f>
        <v/>
      </c>
      <c r="D35" s="1358">
        <f>SUM(D8:D33)</f>
        <v/>
      </c>
      <c r="E35" s="1358">
        <f>E8+E16+E18+E24+E23</f>
        <v/>
      </c>
      <c r="F35" s="1358">
        <f>SUM(F8:F33)</f>
        <v/>
      </c>
      <c r="G35" s="1358">
        <f>SUM(G8:G33)</f>
        <v/>
      </c>
      <c r="H35" s="1359">
        <f>SUM(H8:H33)</f>
        <v/>
      </c>
      <c r="O35" s="1007" t="n"/>
    </row>
    <row r="36" ht="25.5" customHeight="1">
      <c r="A36" s="1360" t="n"/>
      <c r="B36" s="1361" t="inlineStr">
        <is>
          <t>TAXABLE VALUE (2/3)</t>
        </is>
      </c>
      <c r="C36" s="1361" t="inlineStr">
        <is>
          <t xml:space="preserve">CGST </t>
        </is>
      </c>
      <c r="D36" s="1361" t="inlineStr">
        <is>
          <t>SGST</t>
        </is>
      </c>
      <c r="E36" s="1016" t="n"/>
      <c r="F36" s="1016" t="n"/>
      <c r="G36" s="1016" t="n"/>
      <c r="H36" s="1016" t="n"/>
      <c r="O36" s="1007" t="n"/>
    </row>
    <row r="37">
      <c r="A37" s="645" t="n">
        <v>0.18</v>
      </c>
      <c r="B37" s="1362">
        <f>+D8+D9+D19</f>
        <v/>
      </c>
      <c r="C37" s="1362">
        <f>B37*A37/2</f>
        <v/>
      </c>
      <c r="D37" s="1362">
        <f>+C37</f>
        <v/>
      </c>
      <c r="E37" s="647" t="n"/>
      <c r="F37" s="648" t="n"/>
      <c r="G37" s="648" t="n"/>
      <c r="H37" s="648" t="n"/>
      <c r="O37" s="1007" t="n"/>
    </row>
    <row r="38">
      <c r="A38" s="645" t="n">
        <v>0.01</v>
      </c>
      <c r="B38" s="1362">
        <f>+D16+D23+D28</f>
        <v/>
      </c>
      <c r="C38" s="1362">
        <f>B38*A38/2</f>
        <v/>
      </c>
      <c r="D38" s="1362">
        <f>+C38</f>
        <v/>
      </c>
      <c r="F38" s="648" t="n"/>
      <c r="G38" s="648" t="n"/>
      <c r="H38" s="648" t="n"/>
      <c r="O38" s="1007" t="n"/>
    </row>
    <row r="39">
      <c r="A39" s="645" t="n">
        <v>0.05</v>
      </c>
      <c r="B39" s="1362">
        <f>+D17+D18+D24+D29+D30+D32+D33</f>
        <v/>
      </c>
      <c r="C39" s="1362">
        <f>B39*A39/2</f>
        <v/>
      </c>
      <c r="D39" s="1362">
        <f>+C39</f>
        <v/>
      </c>
      <c r="E39" s="1016" t="n"/>
      <c r="F39" s="648" t="n"/>
      <c r="G39" s="648" t="n"/>
      <c r="H39" s="648" t="n"/>
      <c r="O39" s="1007" t="n"/>
    </row>
    <row r="40">
      <c r="A40" s="649" t="inlineStr">
        <is>
          <t>18%(DIRECT B2C)</t>
        </is>
      </c>
      <c r="B40" s="1363">
        <f>+D11+D13+D25</f>
        <v/>
      </c>
      <c r="C40" s="1363">
        <f>+F11+F13+F25</f>
        <v/>
      </c>
      <c r="D40" s="1363">
        <f>+G11+G13+G25</f>
        <v/>
      </c>
      <c r="F40" s="651" t="n"/>
      <c r="G40" s="330" t="n"/>
      <c r="O40" s="1007" t="n"/>
    </row>
    <row r="41">
      <c r="A41" s="652" t="inlineStr">
        <is>
          <t>Non GST income</t>
        </is>
      </c>
      <c r="B41" s="1364">
        <f>+C8</f>
        <v/>
      </c>
      <c r="C41" s="1363" t="n"/>
      <c r="D41" s="1363" t="n"/>
      <c r="F41" s="330" t="n"/>
      <c r="G41" s="330" t="n"/>
      <c r="I41" s="641" t="n"/>
      <c r="J41" s="654" t="n"/>
      <c r="O41" s="1007" t="n"/>
    </row>
    <row r="42">
      <c r="A42" s="652" t="inlineStr">
        <is>
          <t>exempt income</t>
        </is>
      </c>
      <c r="B42" s="1364">
        <f>+B10+B21+B26</f>
        <v/>
      </c>
      <c r="C42" s="1076" t="n"/>
      <c r="D42" s="1076" t="n"/>
      <c r="F42" s="1365" t="n"/>
      <c r="G42" s="330" t="n"/>
      <c r="O42" s="1007" t="n"/>
    </row>
    <row r="43">
      <c r="A43" s="656" t="n"/>
      <c r="B43" s="1016" t="n"/>
      <c r="C43" s="1016" t="n"/>
      <c r="D43" s="1016" t="n"/>
      <c r="F43" s="1365" t="n"/>
      <c r="G43" s="330" t="n"/>
      <c r="I43" s="674" t="n"/>
      <c r="O43" s="1007" t="n"/>
    </row>
    <row r="44" ht="15" customHeight="1" thickBot="1">
      <c r="A44" s="656" t="n"/>
      <c r="B44" s="1016" t="n"/>
      <c r="C44" s="1016" t="n"/>
      <c r="D44" s="1016" t="n"/>
      <c r="F44" s="1365" t="n"/>
      <c r="G44" s="330" t="n"/>
      <c r="I44" s="674" t="n"/>
      <c r="O44" s="1007" t="n"/>
    </row>
    <row r="45">
      <c r="A45" s="1035" t="inlineStr">
        <is>
          <t>Supply</t>
        </is>
      </c>
      <c r="B45" s="1035" t="inlineStr">
        <is>
          <t xml:space="preserve">GSTIN </t>
        </is>
      </c>
      <c r="C45" s="965" t="n"/>
      <c r="D45" s="1035" t="inlineStr">
        <is>
          <t>AMOUNT</t>
        </is>
      </c>
      <c r="E45" s="1035" t="inlineStr">
        <is>
          <t>RATE</t>
        </is>
      </c>
      <c r="F45" s="1035" t="inlineStr">
        <is>
          <t>CGST</t>
        </is>
      </c>
      <c r="G45" s="1035" t="inlineStr">
        <is>
          <t>SGST</t>
        </is>
      </c>
      <c r="H45" s="1035" t="inlineStr">
        <is>
          <t>TOTAL</t>
        </is>
      </c>
    </row>
    <row r="46" ht="15" customHeight="1" thickBot="1">
      <c r="A46" s="979" t="n"/>
      <c r="B46" s="968" t="n"/>
      <c r="C46" s="970" t="n"/>
      <c r="D46" s="979" t="n"/>
      <c r="E46" s="979" t="n"/>
      <c r="F46" s="979" t="n"/>
      <c r="G46" s="979" t="n"/>
      <c r="H46" s="979" t="n"/>
    </row>
    <row r="47">
      <c r="A47" s="1037" t="n"/>
      <c r="B47" s="1037" t="n"/>
      <c r="C47" s="965" t="n"/>
      <c r="D47" s="1038" t="n"/>
      <c r="E47" s="1038" t="n"/>
      <c r="F47" s="1038" t="n"/>
      <c r="G47" s="1038" t="n"/>
      <c r="H47" s="1038" t="n"/>
    </row>
    <row r="48">
      <c r="A48" s="1126" t="inlineStr">
        <is>
          <t>Rent income-Meglyn Technologies Pvt Ltd   (SAC-)] ( To be Confirm is there any income )-997212</t>
        </is>
      </c>
      <c r="B48" s="657" t="inlineStr">
        <is>
          <t>24AAJCM9952F1Z6</t>
        </is>
      </c>
      <c r="C48" s="967" t="n"/>
      <c r="D48" s="1040">
        <f>+'SUN REALTY-CALC'!D38</f>
        <v/>
      </c>
      <c r="E48" s="657" t="n">
        <v>0.18</v>
      </c>
      <c r="F48" s="1040">
        <f>+D48*E48/2</f>
        <v/>
      </c>
      <c r="G48" s="1040">
        <f>+D48*E48/2</f>
        <v/>
      </c>
      <c r="H48" s="1040">
        <f>+SUM(F48:G48)</f>
        <v/>
      </c>
    </row>
    <row r="49" ht="15" customHeight="1" thickBot="1">
      <c r="A49" s="658" t="n"/>
      <c r="B49" s="1366" t="n"/>
      <c r="C49" s="970" t="n"/>
      <c r="D49" s="1042" t="n"/>
      <c r="E49" s="1042" t="n"/>
      <c r="F49" s="1042" t="n"/>
      <c r="G49" s="1042" t="n"/>
      <c r="H49" s="1042" t="n"/>
    </row>
    <row r="50" ht="15" customHeight="1" thickBot="1">
      <c r="A50" s="659" t="n"/>
      <c r="B50" s="1367" t="n"/>
      <c r="C50" s="973" t="n"/>
      <c r="D50" s="1368">
        <f>+SUM(D47:D49)</f>
        <v/>
      </c>
      <c r="E50" s="1368" t="n"/>
      <c r="F50" s="1368">
        <f>+SUM(F47:F49)</f>
        <v/>
      </c>
      <c r="G50" s="1368">
        <f>+SUM(G47:G49)</f>
        <v/>
      </c>
      <c r="H50" s="1368">
        <f>+SUM(H47:H49)</f>
        <v/>
      </c>
    </row>
    <row r="51" ht="15" customHeight="1" thickBot="1">
      <c r="F51" s="1007" t="n"/>
      <c r="G51" s="1007" t="n"/>
    </row>
    <row r="52" ht="15.75" customHeight="1" thickBot="1">
      <c r="A52" s="1369" t="inlineStr">
        <is>
          <t xml:space="preserve">                  GST PAYABLE UNDER RCM FOR THE MONTH OF AUG-26</t>
        </is>
      </c>
      <c r="B52" s="972" t="n"/>
      <c r="C52" s="972" t="n"/>
      <c r="D52" s="972" t="n"/>
      <c r="E52" s="972" t="n"/>
      <c r="F52" s="973" t="n"/>
      <c r="G52" s="1016" t="n"/>
      <c r="H52" s="1016" t="n"/>
    </row>
    <row r="53" ht="15" customHeight="1" thickBot="1">
      <c r="A53" s="991" t="inlineStr">
        <is>
          <t>.</t>
        </is>
      </c>
      <c r="B53" s="1034" t="n"/>
    </row>
    <row r="54" ht="15.75" customHeight="1" thickBot="1">
      <c r="A54" s="1370" t="inlineStr">
        <is>
          <t>Service</t>
        </is>
      </c>
      <c r="B54" s="1371" t="inlineStr">
        <is>
          <t>AMOUNT</t>
        </is>
      </c>
      <c r="C54" s="1372" t="inlineStr">
        <is>
          <t>RATE</t>
        </is>
      </c>
      <c r="D54" s="1372" t="inlineStr">
        <is>
          <t>CGST</t>
        </is>
      </c>
      <c r="E54" s="1372" t="inlineStr">
        <is>
          <t>SGST</t>
        </is>
      </c>
      <c r="F54" s="1373" t="inlineStr">
        <is>
          <t>TOTAL</t>
        </is>
      </c>
    </row>
    <row r="55" ht="15" customHeight="1" thickBot="1">
      <c r="A55" s="1215" t="n"/>
      <c r="B55" s="1003" t="n"/>
      <c r="C55" s="663" t="n"/>
      <c r="D55" s="1005" t="n"/>
      <c r="E55" s="1005" t="n"/>
      <c r="F55" s="1006" t="n"/>
    </row>
    <row r="56" ht="15" customHeight="1" thickBot="1">
      <c r="A56" s="1051" t="inlineStr">
        <is>
          <t>SUN GRAVITAS</t>
        </is>
      </c>
      <c r="B56" s="1122">
        <f>'SUN REALTY-CALC'!B55</f>
        <v/>
      </c>
      <c r="C56" s="734" t="n"/>
      <c r="D56" s="982">
        <f>'SUN REALTY-CALC'!D55</f>
        <v/>
      </c>
      <c r="E56" s="982">
        <f>'SUN REALTY-CALC'!E55</f>
        <v/>
      </c>
      <c r="F56" s="1092">
        <f>'SUN REALTY-CALC'!F55</f>
        <v/>
      </c>
      <c r="H56" s="1007" t="n"/>
    </row>
    <row r="57" ht="15" customHeight="1" thickBot="1">
      <c r="A57" s="1215" t="n"/>
      <c r="B57" s="1003" t="n"/>
      <c r="C57" s="663" t="n"/>
      <c r="D57" s="1005" t="n"/>
      <c r="E57" s="1005" t="n"/>
      <c r="F57" s="1006" t="n"/>
    </row>
    <row r="58" ht="15" customHeight="1" thickBot="1">
      <c r="A58" s="1051" t="inlineStr">
        <is>
          <t>SUN REALTY ATMOSPHERE</t>
        </is>
      </c>
      <c r="B58" s="1122">
        <f>'SUN REALTY ATMOS-CALC'!B53</f>
        <v/>
      </c>
      <c r="C58" s="734" t="n"/>
      <c r="D58" s="982">
        <f>'SUN REALTY ATMOS-CALC'!D53</f>
        <v/>
      </c>
      <c r="E58" s="982">
        <f>'SUN REALTY ATMOS-CALC'!E53</f>
        <v/>
      </c>
      <c r="F58" s="1092">
        <f>'SUN REALTY ATMOS-CALC'!F53</f>
        <v/>
      </c>
      <c r="N58" s="440" t="n"/>
    </row>
    <row r="59" ht="15" customHeight="1" thickBot="1">
      <c r="A59" s="1215" t="n"/>
      <c r="B59" s="1003" t="n"/>
      <c r="C59" s="663" t="n"/>
      <c r="D59" s="1005" t="n"/>
      <c r="E59" s="1005" t="n"/>
      <c r="F59" s="1006" t="n"/>
      <c r="K59" s="1374" t="n"/>
      <c r="L59" s="1374" t="n"/>
      <c r="N59" s="440" t="n"/>
      <c r="O59" s="654" t="n"/>
    </row>
    <row r="60" ht="15" customHeight="1" thickBot="1">
      <c r="A60" s="1051" t="inlineStr">
        <is>
          <t>SUN REALTY FOOTPRINT</t>
        </is>
      </c>
      <c r="B60" s="1122">
        <f>'FOOTPRINT- CALCULATION'!B31</f>
        <v/>
      </c>
      <c r="C60" s="734" t="n"/>
      <c r="D60" s="982">
        <f>'FOOTPRINT- CALCULATION'!D31</f>
        <v/>
      </c>
      <c r="E60" s="982">
        <f>'FOOTPRINT- CALCULATION'!E31</f>
        <v/>
      </c>
      <c r="F60" s="1092">
        <f>D60+E60</f>
        <v/>
      </c>
      <c r="G60" s="1007" t="n"/>
      <c r="K60" s="1374" t="n"/>
      <c r="L60" s="1374" t="n"/>
      <c r="N60" s="440" t="n"/>
      <c r="O60" s="654" t="n"/>
    </row>
    <row r="61" ht="15" customHeight="1" thickBot="1">
      <c r="A61" s="1215" t="n"/>
      <c r="B61" s="1003" t="n"/>
      <c r="C61" s="663" t="n"/>
      <c r="D61" s="1005" t="n"/>
      <c r="E61" s="1005" t="n"/>
      <c r="F61" s="1006" t="n"/>
      <c r="K61" s="1374" t="n"/>
      <c r="L61" s="1374" t="n"/>
      <c r="N61" s="440" t="n"/>
      <c r="O61" s="654" t="n"/>
    </row>
    <row r="62" ht="15" customHeight="1" thickBot="1">
      <c r="A62" s="1051" t="inlineStr">
        <is>
          <t>SUN REALTY - SUN PARK WEST</t>
        </is>
      </c>
      <c r="B62" s="1122">
        <f>+'SUN PARK WEST'!B29</f>
        <v/>
      </c>
      <c r="C62" s="734" t="n"/>
      <c r="D62" s="982">
        <f>+'SUN PARK WEST'!D29</f>
        <v/>
      </c>
      <c r="E62" s="982">
        <f>+'SUN PARK WEST'!E29</f>
        <v/>
      </c>
      <c r="F62" s="1092">
        <f>D62+E62</f>
        <v/>
      </c>
      <c r="K62" s="1374" t="n"/>
      <c r="L62" s="1374" t="n"/>
      <c r="N62" s="440" t="n"/>
      <c r="O62" s="654" t="n"/>
    </row>
    <row r="63" ht="15" customHeight="1" thickBot="1">
      <c r="A63" s="1215" t="n"/>
      <c r="B63" s="1003" t="n"/>
      <c r="C63" s="663" t="n"/>
      <c r="D63" s="1005" t="n"/>
      <c r="E63" s="1005" t="n"/>
      <c r="F63" s="1006" t="n"/>
      <c r="K63" s="1374" t="n"/>
      <c r="L63" s="1374" t="n"/>
      <c r="N63" s="440" t="n"/>
      <c r="O63" s="654" t="n"/>
    </row>
    <row r="64" ht="15" customHeight="1" thickBot="1">
      <c r="A64" s="1051" t="inlineStr">
        <is>
          <t>SUN REALTY - SUN SILVER SPRING</t>
        </is>
      </c>
      <c r="B64" s="1122">
        <f>+'SUN SILVER SPRING'!B26</f>
        <v/>
      </c>
      <c r="C64" s="734" t="n"/>
      <c r="D64" s="1122">
        <f>+'SUN SILVER SPRING'!D26</f>
        <v/>
      </c>
      <c r="E64" s="1122">
        <f>+'SUN SILVER SPRING'!E26</f>
        <v/>
      </c>
      <c r="F64" s="1092">
        <f>D64+E64</f>
        <v/>
      </c>
      <c r="K64" s="1374" t="n"/>
      <c r="L64" s="1374" t="n"/>
      <c r="N64" s="440" t="n"/>
      <c r="O64" s="654" t="n"/>
    </row>
    <row r="65" ht="15" customHeight="1" thickBot="1">
      <c r="A65" s="1215" t="n"/>
      <c r="B65" s="1003" t="n"/>
      <c r="C65" s="663" t="n"/>
      <c r="D65" s="1005" t="n"/>
      <c r="E65" s="1005" t="n"/>
      <c r="F65" s="1006" t="n"/>
      <c r="K65" s="1374" t="n"/>
      <c r="L65" s="1374" t="n"/>
      <c r="N65" s="440" t="n"/>
      <c r="O65" s="654" t="n"/>
    </row>
    <row r="66" ht="15.75" customHeight="1" thickBot="1">
      <c r="A66" s="1375" t="inlineStr">
        <is>
          <t>TOTAL</t>
        </is>
      </c>
      <c r="B66" s="1376">
        <f>+B56+B58+B60+B62+B64</f>
        <v/>
      </c>
      <c r="C66" s="1144" t="n"/>
      <c r="D66" s="1376">
        <f>+D56+D58+D60+D62+D64</f>
        <v/>
      </c>
      <c r="E66" s="1376">
        <f>+E56+E58+E60+E62+E64</f>
        <v/>
      </c>
      <c r="F66" s="1376">
        <f>+F56+F58+F60+F62+F64</f>
        <v/>
      </c>
    </row>
    <row r="67" ht="15" customHeight="1" thickBot="1">
      <c r="A67" s="1056" t="n"/>
      <c r="B67" s="1016" t="n"/>
      <c r="C67" s="1016" t="n"/>
      <c r="D67" s="1016" t="n"/>
      <c r="E67" s="1016" t="n"/>
      <c r="F67" s="1056" t="n"/>
      <c r="G67" s="1016" t="n"/>
      <c r="H67" s="1016" t="n"/>
    </row>
    <row r="68" ht="15.75" customHeight="1" thickBot="1">
      <c r="A68" s="1369" t="inlineStr">
        <is>
          <t xml:space="preserve">                    INPUT TAX CREDIT FOR THE MONTH OF AUG-26</t>
        </is>
      </c>
      <c r="B68" s="972" t="n"/>
      <c r="C68" s="972" t="n"/>
      <c r="D68" s="973" t="n"/>
      <c r="E68" s="1016" t="n"/>
      <c r="F68" s="1016" t="n"/>
      <c r="G68" s="1016" t="n"/>
      <c r="H68" s="1016" t="n"/>
    </row>
    <row r="69" ht="15" customHeight="1" thickBot="1">
      <c r="A69" s="991" t="n"/>
      <c r="B69" s="991" t="n"/>
      <c r="C69" s="991" t="n"/>
      <c r="D69" s="991" t="n"/>
      <c r="E69" s="991" t="n"/>
      <c r="F69" s="991" t="n"/>
      <c r="G69" s="991" t="n"/>
      <c r="H69" s="991" t="n"/>
    </row>
    <row r="70" ht="15.75" customHeight="1" thickBot="1">
      <c r="A70" s="1377" t="inlineStr">
        <is>
          <t>PARTICULARS</t>
        </is>
      </c>
      <c r="B70" s="1378" t="inlineStr">
        <is>
          <t>CGST</t>
        </is>
      </c>
      <c r="C70" s="1370" t="inlineStr">
        <is>
          <t>SGST</t>
        </is>
      </c>
      <c r="D70" s="1370" t="inlineStr">
        <is>
          <t>IGST</t>
        </is>
      </c>
      <c r="E70" s="1034" t="n"/>
      <c r="F70" s="991" t="n"/>
      <c r="G70" s="1379" t="n"/>
    </row>
    <row r="71">
      <c r="A71" s="1058" t="n"/>
      <c r="B71" s="1037" t="n"/>
      <c r="C71" s="1037" t="n"/>
      <c r="D71" s="1037" t="n"/>
      <c r="E71" s="1034" t="n"/>
      <c r="F71" s="991" t="n"/>
      <c r="G71" s="991" t="n"/>
      <c r="H71" s="991" t="n"/>
      <c r="I71" s="674" t="n"/>
      <c r="J71" s="991" t="n"/>
    </row>
    <row r="72">
      <c r="A72" s="1061" t="inlineStr">
        <is>
          <t xml:space="preserve">         Opening Balance</t>
        </is>
      </c>
      <c r="B72" s="1069">
        <f>+'SUN REALTY-CALC'!B61</f>
        <v/>
      </c>
      <c r="C72" s="1069">
        <f>B72</f>
        <v/>
      </c>
      <c r="D72" s="1069" t="n">
        <v>0</v>
      </c>
      <c r="E72" s="1034" t="n"/>
      <c r="F72" s="991" t="n"/>
      <c r="G72" s="991" t="n"/>
      <c r="H72" s="991" t="n"/>
      <c r="J72" s="991" t="n"/>
    </row>
    <row r="73">
      <c r="A73" s="1061" t="inlineStr">
        <is>
          <t>Add : ITC FOR THE AUG-26</t>
        </is>
      </c>
      <c r="B73" s="1069">
        <f>+'SUN REALTY-CALC'!B62</f>
        <v/>
      </c>
      <c r="C73" s="1069">
        <f>+B73</f>
        <v/>
      </c>
      <c r="D73" s="1069">
        <f>+'SUN REALTY-CALC'!D62</f>
        <v/>
      </c>
      <c r="E73" s="1033" t="n"/>
      <c r="F73" s="991" t="n"/>
      <c r="G73" s="991" t="n"/>
      <c r="H73" s="991" t="n"/>
      <c r="J73" s="991" t="n"/>
    </row>
    <row r="74" ht="25.5" customHeight="1">
      <c r="A74" s="1380" t="inlineStr">
        <is>
          <t>Add : ITC of Backdated entries in month of Decil 2022 which are also reflected in GSTR2B of same month</t>
        </is>
      </c>
      <c r="B74" s="1069">
        <f>'SUN REALTY-CALC'!B64</f>
        <v/>
      </c>
      <c r="C74" s="1069">
        <f>B74</f>
        <v/>
      </c>
      <c r="D74" s="1069" t="n"/>
      <c r="E74" s="1033" t="n"/>
      <c r="F74" s="991" t="n"/>
      <c r="G74" s="991" t="n"/>
      <c r="H74" s="991" t="n"/>
      <c r="J74" s="991" t="n"/>
    </row>
    <row r="75">
      <c r="A75" s="1061" t="inlineStr">
        <is>
          <t>Add : ITC of RCM of AUG-26</t>
        </is>
      </c>
      <c r="B75" s="1069">
        <f>'SUN REALTY-CALC'!B63</f>
        <v/>
      </c>
      <c r="C75" s="1069">
        <f>+B75</f>
        <v/>
      </c>
      <c r="D75" s="1069">
        <f>'SUN REALTY-CALC'!D63</f>
        <v/>
      </c>
      <c r="F75" s="991" t="n"/>
      <c r="G75" s="1381" t="n"/>
      <c r="H75" s="1382" t="n"/>
      <c r="I75" s="680" t="n"/>
      <c r="J75" s="991" t="n"/>
    </row>
    <row r="76">
      <c r="A76" s="1061" t="inlineStr">
        <is>
          <t>Add : ITC of Common Office</t>
        </is>
      </c>
      <c r="B76" s="1383" t="n">
        <v>0</v>
      </c>
      <c r="C76" s="1383" t="n">
        <v>0</v>
      </c>
      <c r="D76" s="1383">
        <f>'SUN REALTY-CALC'!D65</f>
        <v/>
      </c>
      <c r="F76" s="1033" t="n"/>
      <c r="G76" s="991" t="n"/>
      <c r="H76" s="991" t="n"/>
      <c r="J76" s="991" t="n"/>
    </row>
    <row r="77">
      <c r="A77" s="1061">
        <f>'SUN REALTY-CALC'!A66</f>
        <v/>
      </c>
      <c r="B77" s="1383">
        <f>'SUN REALTY-CALC'!B66</f>
        <v/>
      </c>
      <c r="C77" s="1383">
        <f>'SUN REALTY-CALC'!C66</f>
        <v/>
      </c>
      <c r="D77" s="1069" t="n"/>
      <c r="E77" s="1033" t="n"/>
      <c r="F77" s="991" t="n"/>
      <c r="G77" s="991" t="n"/>
      <c r="H77" s="991" t="n"/>
      <c r="J77" s="991" t="n"/>
    </row>
    <row r="78">
      <c r="A78" s="1061">
        <f>'SUN REALTY-CALC'!A67</f>
        <v/>
      </c>
      <c r="B78" s="1061">
        <f>'SUN REALTY-CALC'!B67</f>
        <v/>
      </c>
      <c r="C78" s="1061">
        <f>'SUN REALTY-CALC'!C67</f>
        <v/>
      </c>
      <c r="D78" s="1069" t="n"/>
      <c r="E78" s="1033" t="n"/>
      <c r="F78" s="991" t="n"/>
    </row>
    <row r="79">
      <c r="A79" s="1061" t="inlineStr">
        <is>
          <t>Less: ITC wrongly availed of Sun Realty Atmosphere</t>
        </is>
      </c>
      <c r="B79" s="1069" t="n">
        <v>0</v>
      </c>
      <c r="C79" s="1069">
        <f>B79</f>
        <v/>
      </c>
      <c r="D79" s="1069" t="n"/>
      <c r="E79" s="1033" t="n"/>
      <c r="F79" s="991" t="n"/>
      <c r="G79" s="991" t="n"/>
      <c r="H79" s="991" t="n"/>
    </row>
    <row r="80">
      <c r="A80" s="1061" t="inlineStr">
        <is>
          <t>Add:ITC of Bills which are in GSTR-2B but not in Books (Dec)</t>
        </is>
      </c>
      <c r="B80" s="1069">
        <f>'SUN REALTY-CALC'!B68</f>
        <v/>
      </c>
      <c r="C80" s="1069">
        <f>B80</f>
        <v/>
      </c>
      <c r="D80" s="1069">
        <f>'SUN REALTY-CALC'!D68</f>
        <v/>
      </c>
      <c r="E80" s="1033" t="n"/>
      <c r="F80" s="991" t="n"/>
      <c r="G80" s="991" t="n"/>
      <c r="H80" s="991" t="n"/>
    </row>
    <row r="81">
      <c r="A81" s="1061" t="inlineStr">
        <is>
          <t>Add:ITC of Bills which are in GSTR-2B but not in Books (Dec)</t>
        </is>
      </c>
      <c r="B81" s="1069">
        <f>'SUN REALTY-CALC'!B69</f>
        <v/>
      </c>
      <c r="C81" s="1069">
        <f>B81</f>
        <v/>
      </c>
      <c r="D81" s="1069" t="n"/>
      <c r="E81" s="1033" t="n"/>
      <c r="F81" s="991" t="n"/>
      <c r="G81" s="991" t="n"/>
      <c r="H81" s="991" t="n"/>
    </row>
    <row r="82">
      <c r="A82" s="1061" t="inlineStr">
        <is>
          <t>Less: Praportionate Reversal of ITC of Sun Realty Office (Atmosphere Portion)</t>
        </is>
      </c>
      <c r="B82" s="1069" t="n">
        <v>0</v>
      </c>
      <c r="C82" s="1069">
        <f>B82</f>
        <v/>
      </c>
      <c r="D82" s="1069" t="n"/>
      <c r="E82" s="1033" t="n"/>
      <c r="F82" s="991" t="n"/>
      <c r="G82" s="991" t="n"/>
      <c r="H82" s="991" t="n"/>
    </row>
    <row r="83" ht="26.25" customHeight="1" thickBot="1">
      <c r="A83" s="1380" t="inlineStr">
        <is>
          <t>Less: Praportionate Reversal of ITC of Sun Realty Gravitas due to BU in the ration of sold Unsold</t>
        </is>
      </c>
      <c r="B83" s="1069" t="n"/>
      <c r="C83" s="1069">
        <f>+B83</f>
        <v/>
      </c>
      <c r="D83" s="1069" t="n"/>
      <c r="E83" s="1033" t="n"/>
      <c r="F83" s="991" t="n"/>
      <c r="G83" s="991" t="n"/>
      <c r="H83" s="991" t="n"/>
    </row>
    <row r="84">
      <c r="A84" s="1071" t="inlineStr">
        <is>
          <t xml:space="preserve">         Total CENVAT available</t>
        </is>
      </c>
      <c r="B84" s="1384">
        <f>SUM(B72:B83)</f>
        <v/>
      </c>
      <c r="C84" s="1384">
        <f>SUM(C72:C83)</f>
        <v/>
      </c>
      <c r="D84" s="1384">
        <f>SUM(D72:D83)</f>
        <v/>
      </c>
      <c r="E84" s="1033" t="n"/>
      <c r="F84" s="1074" t="n"/>
      <c r="G84" s="1074" t="n"/>
      <c r="H84" s="1074" t="n"/>
    </row>
    <row r="85">
      <c r="A85" s="1061" t="inlineStr">
        <is>
          <t>Less : ITC OF IGST Utilized for AUG-26</t>
        </is>
      </c>
      <c r="B85" s="1069">
        <f>+'SUN REALTY-CALC'!B82</f>
        <v/>
      </c>
      <c r="C85" s="1069">
        <f>B85</f>
        <v/>
      </c>
      <c r="D85" s="1066">
        <f>SUM(B85:C85)</f>
        <v/>
      </c>
      <c r="E85" s="1033" t="n"/>
      <c r="F85" s="1074" t="n"/>
      <c r="G85" s="1074" t="n"/>
      <c r="H85" s="1074" t="n"/>
    </row>
    <row r="86">
      <c r="A86" s="1061" t="inlineStr">
        <is>
          <t>Less : ITC Utilised FOR the AUG-26</t>
        </is>
      </c>
      <c r="B86" s="1069">
        <f>'SUN REALTY-CALC'!B74</f>
        <v/>
      </c>
      <c r="C86" s="1069">
        <f>+B86</f>
        <v/>
      </c>
      <c r="D86" s="1066" t="n">
        <v>0</v>
      </c>
      <c r="E86" s="1033" t="n"/>
      <c r="F86" s="991" t="n"/>
      <c r="G86" s="991" t="n"/>
      <c r="H86" s="991" t="n"/>
    </row>
    <row r="87">
      <c r="A87" s="1061" t="inlineStr">
        <is>
          <t>Less. ITC Revesal for Gravitas as per Rule 42 &amp; 43 ( Ineligible ITC 53.5448%)</t>
        </is>
      </c>
      <c r="B87" s="1069">
        <f>-'SUN REALTY-CALC'!B102</f>
        <v/>
      </c>
      <c r="C87" s="1069">
        <f>-'SUN REALTY-CALC'!C102</f>
        <v/>
      </c>
      <c r="D87" s="1066">
        <f>-'SUN REALTY-CALC'!D102</f>
        <v/>
      </c>
      <c r="E87" s="1033" t="n"/>
      <c r="F87" s="991" t="n"/>
      <c r="G87" s="991" t="n"/>
      <c r="H87" s="991" t="n"/>
    </row>
    <row r="88" ht="15" customHeight="1" thickBot="1">
      <c r="A88" s="1061" t="inlineStr">
        <is>
          <t>Less. Common Credit Of Corporate Office To Be C/F upto March'23</t>
        </is>
      </c>
      <c r="B88" s="1084">
        <f>-B76</f>
        <v/>
      </c>
      <c r="C88" s="1084">
        <f>-C76</f>
        <v/>
      </c>
      <c r="D88" s="1385" t="n"/>
      <c r="E88" s="1386" t="n"/>
      <c r="F88" s="991" t="n"/>
      <c r="G88" s="991" t="n"/>
      <c r="H88" s="991" t="n"/>
    </row>
    <row r="89" ht="15.75" customHeight="1" thickBot="1">
      <c r="A89" s="1387" t="inlineStr">
        <is>
          <t xml:space="preserve">         Closing Balance</t>
        </is>
      </c>
      <c r="B89" s="1388">
        <f>SUM(B84:B88)-B85</f>
        <v/>
      </c>
      <c r="C89" s="1388">
        <f>SUM(C84:C88)-C85</f>
        <v/>
      </c>
      <c r="D89" s="1388">
        <f>SUM(D84:D87)</f>
        <v/>
      </c>
      <c r="E89" s="1016" t="n"/>
      <c r="F89" s="1016" t="n"/>
      <c r="G89" s="1016" t="n"/>
      <c r="H89" s="991" t="n"/>
    </row>
    <row r="90" ht="15" customHeight="1" thickBot="1">
      <c r="A90" s="1056" t="n"/>
      <c r="B90" s="1016" t="n"/>
      <c r="C90" s="1016" t="n"/>
      <c r="D90" s="1016" t="n"/>
      <c r="E90" s="1016" t="n"/>
      <c r="F90" s="991" t="n"/>
      <c r="G90" s="991" t="n"/>
      <c r="H90" s="991" t="n"/>
    </row>
    <row r="91" ht="15.75" customHeight="1" thickBot="1">
      <c r="A91" s="1369" t="inlineStr">
        <is>
          <t xml:space="preserve">                    INELIGIBLE CREDIT FOR THE MONTH OF AUG-26</t>
        </is>
      </c>
      <c r="B91" s="972" t="n"/>
      <c r="C91" s="972" t="n"/>
      <c r="D91" s="973" t="n"/>
      <c r="F91" s="1007" t="n"/>
      <c r="G91" s="1" t="inlineStr">
        <is>
          <t>cgst/sgst</t>
        </is>
      </c>
      <c r="H91" s="1" t="inlineStr">
        <is>
          <t>igst</t>
        </is>
      </c>
    </row>
    <row r="92" ht="15" customHeight="1" thickBot="1">
      <c r="A92" s="991" t="n"/>
      <c r="B92" s="991" t="n"/>
      <c r="C92" s="991" t="n"/>
      <c r="D92" s="991" t="n"/>
      <c r="F92" s="330" t="inlineStr">
        <is>
          <t>RCM OF ALL PROJECTS</t>
        </is>
      </c>
      <c r="G92" s="1125">
        <f>+'SUN REALTY-CALC'!D55+'SUN REALTY ATMOS-CALC'!D53+'FOOTPRINT- CALCULATION'!D31+'SUN PARK WEST'!D29+'SUN SILVER SPRING'!D26</f>
        <v/>
      </c>
      <c r="H92" s="1" t="n">
        <v>0</v>
      </c>
    </row>
    <row r="93" ht="15.75" customHeight="1" thickBot="1">
      <c r="A93" s="1377" t="inlineStr">
        <is>
          <t>PARTICULARS</t>
        </is>
      </c>
      <c r="B93" s="1370" t="inlineStr">
        <is>
          <t>CGST</t>
        </is>
      </c>
      <c r="C93" s="1370" t="inlineStr">
        <is>
          <t>SGST</t>
        </is>
      </c>
      <c r="D93" s="1370" t="inlineStr">
        <is>
          <t>IGST</t>
        </is>
      </c>
      <c r="F93" s="1" t="inlineStr">
        <is>
          <t>gravitas</t>
        </is>
      </c>
      <c r="G93" s="1007">
        <f>+'SUN REALTY-CALC'!B62</f>
        <v/>
      </c>
      <c r="H93" s="1007">
        <f>+D73+D77</f>
        <v/>
      </c>
    </row>
    <row r="94">
      <c r="A94" s="1058" t="n"/>
      <c r="B94" s="1037" t="n"/>
      <c r="C94" s="1059" t="n"/>
      <c r="D94" s="1060" t="n"/>
      <c r="F94" s="1" t="inlineStr">
        <is>
          <t>atmoshphere</t>
        </is>
      </c>
      <c r="G94" s="1389">
        <f>+'SUN REALTY ATMOS-CALC'!B59</f>
        <v/>
      </c>
      <c r="H94" s="1">
        <f>+'SUN REALTY ATMOS-CALC'!D62</f>
        <v/>
      </c>
    </row>
    <row r="95">
      <c r="A95" s="1061" t="inlineStr">
        <is>
          <t xml:space="preserve"> ITC FOR THE AUG-26 Including RCM ( Atmoshphere ,Footprint  &amp; SUN PARK WEST)</t>
        </is>
      </c>
      <c r="B95" s="1069">
        <f>+'SUN REALTY ATMOS-CALC'!B62+'FOOTPRINT- CALCULATION'!B40+'SUN PARK WEST'!B40+'SUN SILVER SPRING'!B37</f>
        <v/>
      </c>
      <c r="C95" s="1066">
        <f>B95</f>
        <v/>
      </c>
      <c r="D95" s="1067">
        <f>'SUN REALTY ATMOS-CALC'!D59</f>
        <v/>
      </c>
      <c r="E95" s="1007" t="n"/>
      <c r="F95" s="1" t="inlineStr">
        <is>
          <t>footprint</t>
        </is>
      </c>
      <c r="G95" s="1389">
        <f>+'FOOTPRINT- CALCULATION'!B37</f>
        <v/>
      </c>
      <c r="H95" s="1">
        <f>+'FOOTPRINT- CALCULATION'!D40</f>
        <v/>
      </c>
    </row>
    <row r="96" ht="15" customHeight="1" thickBot="1">
      <c r="A96" s="1071" t="inlineStr">
        <is>
          <t xml:space="preserve">         Total ineligible CENVAYT</t>
        </is>
      </c>
      <c r="B96" s="1072">
        <f>B95</f>
        <v/>
      </c>
      <c r="C96" s="1073">
        <f>SUM(C95:C95)</f>
        <v/>
      </c>
      <c r="D96" s="1186">
        <f>SUM(D95:D95)</f>
        <v/>
      </c>
      <c r="F96" s="1" t="inlineStr">
        <is>
          <t>sun park west</t>
        </is>
      </c>
      <c r="G96" s="1389">
        <f>+'SUN PARK WEST'!B36+'SUN PARK WEST'!B37</f>
        <v/>
      </c>
      <c r="H96" s="1">
        <f>+'SUN PARK WEST'!$D$40</f>
        <v/>
      </c>
    </row>
    <row r="97" ht="15.75" customHeight="1" thickBot="1">
      <c r="A97" s="1387" t="inlineStr">
        <is>
          <t>TOTAL</t>
        </is>
      </c>
      <c r="B97" s="1388" t="n"/>
      <c r="C97" s="1388" t="n"/>
      <c r="D97" s="1388" t="n"/>
      <c r="F97" s="1" t="inlineStr">
        <is>
          <t>sun silver spring</t>
        </is>
      </c>
      <c r="G97" s="1389">
        <f>+'SUN SILVER SPRING'!B33+'SUN SILVER SPRING'!B34</f>
        <v/>
      </c>
      <c r="H97" s="1">
        <f>+'SUN SILVER SPRING'!D33+'SUN SILVER SPRING'!D34</f>
        <v/>
      </c>
    </row>
    <row r="98">
      <c r="F98" s="330" t="inlineStr">
        <is>
          <t>TOTAL</t>
        </is>
      </c>
      <c r="G98" s="1390">
        <f>SUM(G92:G97)</f>
        <v/>
      </c>
      <c r="H98" s="1007">
        <f>SUM(H93:H96)</f>
        <v/>
      </c>
    </row>
    <row r="99" ht="15" customHeight="1" thickBot="1">
      <c r="G99" s="1389" t="n"/>
      <c r="H99" s="1389">
        <f>+H92</f>
        <v/>
      </c>
    </row>
    <row r="100" ht="15.75" customHeight="1" thickBot="1">
      <c r="A100" s="1369" t="inlineStr">
        <is>
          <t xml:space="preserve">                GST Payable for the month of AUG-26</t>
        </is>
      </c>
      <c r="B100" s="972" t="n"/>
      <c r="C100" s="972" t="n"/>
      <c r="D100" s="973" t="n"/>
      <c r="E100" s="1016" t="n"/>
      <c r="F100" s="330" t="inlineStr">
        <is>
          <t xml:space="preserve">NET ITC AVAILABLE </t>
        </is>
      </c>
      <c r="G100" s="1390">
        <f>+'SUN REALTY-CALC'!B101</f>
        <v/>
      </c>
      <c r="H100" s="1390">
        <f>+'SUN REALTY-CALC'!D101</f>
        <v/>
      </c>
    </row>
    <row r="101" ht="15" customHeight="1" thickBot="1">
      <c r="C101" s="442" t="n"/>
      <c r="D101" s="442" t="n"/>
      <c r="E101" s="1083" t="n"/>
      <c r="F101" s="1" t="inlineStr">
        <is>
          <t>reversal</t>
        </is>
      </c>
      <c r="G101" s="1389">
        <f>+G98-G100</f>
        <v/>
      </c>
      <c r="H101" s="1389">
        <f>+H98-H100</f>
        <v/>
      </c>
      <c r="K101" s="330" t="n"/>
    </row>
    <row r="102" ht="16.5" customHeight="1" thickBot="1">
      <c r="A102" s="1377" t="inlineStr">
        <is>
          <t>PARTICULARS</t>
        </is>
      </c>
      <c r="B102" s="1370" t="inlineStr">
        <is>
          <t>CGST</t>
        </is>
      </c>
      <c r="C102" s="1370" t="inlineStr">
        <is>
          <t>SGST</t>
        </is>
      </c>
      <c r="D102" s="1370" t="inlineStr">
        <is>
          <t>TOTAL</t>
        </is>
      </c>
      <c r="E102" s="433" t="n"/>
      <c r="G102" s="1007" t="n"/>
      <c r="K102" s="1007" t="n"/>
      <c r="L102" s="342" t="n"/>
      <c r="M102" s="1007" t="n"/>
    </row>
    <row r="103">
      <c r="A103" s="434" t="n"/>
      <c r="B103" s="1069" t="n"/>
      <c r="C103" s="1069" t="n"/>
      <c r="D103" s="1069" t="n"/>
      <c r="E103" s="991" t="n"/>
      <c r="F103" s="1016" t="n"/>
      <c r="G103" s="1016" t="n"/>
    </row>
    <row r="104">
      <c r="A104" s="435">
        <f>+A8</f>
        <v/>
      </c>
      <c r="B104" s="1069">
        <f>SUM(F8:F14)</f>
        <v/>
      </c>
      <c r="C104" s="1069">
        <f>SUM(G8:G14)</f>
        <v/>
      </c>
      <c r="D104" s="1069">
        <f>SUM(B104:C104)-1</f>
        <v/>
      </c>
      <c r="E104" s="1033" t="n"/>
    </row>
    <row r="105">
      <c r="A105" s="434" t="inlineStr">
        <is>
          <t>LESS.: CENVAT CREDIT UTILIZED</t>
        </is>
      </c>
      <c r="B105" s="1069">
        <f>+'SUN REALTY-CALC'!B82</f>
        <v/>
      </c>
      <c r="C105" s="1069">
        <f>+B105</f>
        <v/>
      </c>
      <c r="D105" s="1069">
        <f>SUM(B105:C105)</f>
        <v/>
      </c>
      <c r="E105" s="1033" t="n"/>
    </row>
    <row r="106" ht="15" customHeight="1" thickBot="1">
      <c r="A106" s="434" t="inlineStr">
        <is>
          <t>LESS.: CENVAT CREDIT UTILIZED</t>
        </is>
      </c>
      <c r="B106" s="1084">
        <f>+'SUN REALTY-CALC'!B83</f>
        <v/>
      </c>
      <c r="C106" s="1084">
        <f>+B106</f>
        <v/>
      </c>
      <c r="D106" s="1084">
        <f>SUM(B106:C106)</f>
        <v/>
      </c>
      <c r="E106" s="1033" t="n"/>
    </row>
    <row r="107">
      <c r="A107" s="434" t="inlineStr">
        <is>
          <t xml:space="preserve">TOTAL PAYABLE FOR RESIDENTIAL </t>
        </is>
      </c>
      <c r="B107" s="1069">
        <f>SUM(B104:B106)</f>
        <v/>
      </c>
      <c r="C107" s="1069">
        <f>SUM(C104:C106)</f>
        <v/>
      </c>
      <c r="D107" s="1069">
        <f>SUM(D104:D106)</f>
        <v/>
      </c>
      <c r="E107" s="1033" t="n"/>
    </row>
    <row r="108">
      <c r="A108" s="434" t="n"/>
      <c r="B108" s="1069" t="n"/>
      <c r="C108" s="1069" t="n"/>
      <c r="D108" s="1069" t="n"/>
      <c r="E108" s="1033" t="n"/>
    </row>
    <row r="109">
      <c r="A109" s="435" t="inlineStr">
        <is>
          <t>SUN REALTY ATMOSPHERE</t>
        </is>
      </c>
      <c r="B109" s="1069">
        <f>SUM(F16:F20)</f>
        <v/>
      </c>
      <c r="C109" s="1069">
        <f>SUM(G16:G20)</f>
        <v/>
      </c>
      <c r="D109" s="1069">
        <f>B109+C109</f>
        <v/>
      </c>
      <c r="E109" s="1033" t="n"/>
    </row>
    <row r="110">
      <c r="A110" s="435" t="n"/>
      <c r="B110" s="1069" t="n"/>
      <c r="C110" s="1069" t="n"/>
      <c r="D110" s="1069" t="n"/>
      <c r="E110" s="1033" t="n"/>
    </row>
    <row r="111">
      <c r="A111" s="435" t="inlineStr">
        <is>
          <t>SUN REALTY FOOTPRINT</t>
        </is>
      </c>
      <c r="B111" s="1069">
        <f>SUM(F23:F25)</f>
        <v/>
      </c>
      <c r="C111" s="1069">
        <f>SUM(G23:G25)</f>
        <v/>
      </c>
      <c r="D111" s="1069">
        <f>B111+C111+1</f>
        <v/>
      </c>
      <c r="E111" s="1033" t="n"/>
    </row>
    <row r="112">
      <c r="A112" s="435" t="n"/>
      <c r="B112" s="1069" t="n"/>
      <c r="C112" s="1069" t="n"/>
      <c r="D112" s="1069" t="n"/>
      <c r="E112" s="1033" t="n"/>
    </row>
    <row r="113">
      <c r="A113" s="435" t="inlineStr">
        <is>
          <t>SUN REALTY SUN PARK WEST</t>
        </is>
      </c>
      <c r="B113" s="1069">
        <f>SUM(F28:F30)</f>
        <v/>
      </c>
      <c r="C113" s="1069">
        <f>SUM(G28:G30)</f>
        <v/>
      </c>
      <c r="D113" s="1069">
        <f>+C113+B113+1</f>
        <v/>
      </c>
      <c r="E113" s="1033" t="n"/>
    </row>
    <row r="114">
      <c r="A114" s="435" t="n"/>
      <c r="B114" s="1069" t="n"/>
      <c r="C114" s="1069" t="n"/>
      <c r="D114" s="1069" t="n"/>
      <c r="E114" s="1033" t="n"/>
    </row>
    <row r="115">
      <c r="A115" s="1142" t="inlineStr">
        <is>
          <t>SUN REALTY -SUN SILVER SPRINGS</t>
        </is>
      </c>
      <c r="B115" s="1069">
        <f>SUM(F32:F33)</f>
        <v/>
      </c>
      <c r="C115" s="1069">
        <f>SUM(G32:G33)</f>
        <v/>
      </c>
      <c r="D115" s="1069">
        <f>+C115+B115-1</f>
        <v/>
      </c>
      <c r="E115" s="1033" t="n"/>
    </row>
    <row r="116">
      <c r="A116" s="435" t="n"/>
      <c r="B116" s="1069" t="n"/>
      <c r="C116" s="1069" t="n"/>
      <c r="D116" s="1069" t="n"/>
      <c r="E116" s="1033" t="n"/>
    </row>
    <row r="117">
      <c r="A117" s="435" t="inlineStr">
        <is>
          <t>GST Paid on RENT Income</t>
        </is>
      </c>
      <c r="B117" s="1069">
        <f>+F50</f>
        <v/>
      </c>
      <c r="C117" s="1069">
        <f>+B117</f>
        <v/>
      </c>
      <c r="D117" s="1069">
        <f>+C117+B117</f>
        <v/>
      </c>
      <c r="E117" s="1033" t="n"/>
    </row>
    <row r="118">
      <c r="A118" s="434" t="n"/>
      <c r="B118" s="1069" t="n"/>
      <c r="C118" s="1069" t="n"/>
      <c r="D118" s="1069" t="n"/>
      <c r="E118" s="1033" t="n"/>
    </row>
    <row r="119">
      <c r="A119" s="1053" t="inlineStr">
        <is>
          <t>GST UNDER RCM</t>
        </is>
      </c>
      <c r="B119" s="1069" t="n"/>
      <c r="C119" s="1069" t="n"/>
      <c r="D119" s="1069" t="n"/>
      <c r="E119" s="1033" t="n"/>
    </row>
    <row r="120">
      <c r="A120" s="434" t="inlineStr">
        <is>
          <t>SUN GRAVITAS</t>
        </is>
      </c>
      <c r="B120" s="1069">
        <f>D56</f>
        <v/>
      </c>
      <c r="C120" s="1069">
        <f>B120</f>
        <v/>
      </c>
      <c r="D120" s="1069">
        <f>+B120+C120</f>
        <v/>
      </c>
      <c r="E120" s="1033" t="n"/>
    </row>
    <row r="121">
      <c r="A121" s="434" t="inlineStr">
        <is>
          <t>SUN REALTY ATMOSPHERE</t>
        </is>
      </c>
      <c r="B121" s="1069">
        <f>D58</f>
        <v/>
      </c>
      <c r="C121" s="1069">
        <f>B121</f>
        <v/>
      </c>
      <c r="D121" s="1069">
        <f>+B121+C121</f>
        <v/>
      </c>
      <c r="E121" s="1033" t="n"/>
    </row>
    <row r="122">
      <c r="A122" s="434" t="inlineStr">
        <is>
          <t>SUN REALTY FOOTPRINT</t>
        </is>
      </c>
      <c r="B122" s="1069">
        <f>'FOOTPRINT- CALCULATION'!D31</f>
        <v/>
      </c>
      <c r="C122" s="1069">
        <f>B122</f>
        <v/>
      </c>
      <c r="D122" s="1069">
        <f>B122+C122-1</f>
        <v/>
      </c>
      <c r="E122" s="1033" t="n"/>
    </row>
    <row r="123">
      <c r="A123" s="434" t="inlineStr">
        <is>
          <t>SUN REALTY - SUN PARK WEST</t>
        </is>
      </c>
      <c r="B123" s="1069">
        <f>+D62</f>
        <v/>
      </c>
      <c r="C123" s="1069">
        <f>+E62</f>
        <v/>
      </c>
      <c r="D123" s="1069">
        <f>+C123+B123</f>
        <v/>
      </c>
      <c r="E123" s="1033" t="n"/>
    </row>
    <row r="124">
      <c r="A124" s="434" t="inlineStr">
        <is>
          <t>SUN REALTY - SUN SILVER SPRING</t>
        </is>
      </c>
      <c r="B124" s="1069">
        <f>+D64</f>
        <v/>
      </c>
      <c r="C124" s="1069">
        <f>+E64</f>
        <v/>
      </c>
      <c r="D124" s="1069">
        <f>+C124+B124</f>
        <v/>
      </c>
      <c r="E124" s="1033" t="n"/>
    </row>
    <row r="125">
      <c r="A125" s="434" t="inlineStr">
        <is>
          <t>Late Fees</t>
        </is>
      </c>
      <c r="B125" s="1069" t="n">
        <v>0</v>
      </c>
      <c r="C125" s="1069" t="n">
        <v>0</v>
      </c>
      <c r="D125" s="1069">
        <f>B125+C125</f>
        <v/>
      </c>
      <c r="E125" s="1033" t="n"/>
    </row>
    <row r="126" ht="15" customHeight="1" thickBot="1">
      <c r="A126" s="434" t="inlineStr">
        <is>
          <t>Interest</t>
        </is>
      </c>
      <c r="B126" s="1069">
        <f>+F168</f>
        <v/>
      </c>
      <c r="C126" s="1069">
        <f>+B126</f>
        <v/>
      </c>
      <c r="D126" s="1069">
        <f>B126+C126</f>
        <v/>
      </c>
      <c r="E126" s="1033" t="n"/>
    </row>
    <row r="127" ht="15" customHeight="1" thickBot="1">
      <c r="A127" s="569" t="inlineStr">
        <is>
          <t xml:space="preserve">            GST Payable</t>
        </is>
      </c>
      <c r="B127" s="1194">
        <f>SUM(B107:B126)</f>
        <v/>
      </c>
      <c r="C127" s="1194">
        <f>SUM(C107:C126)</f>
        <v/>
      </c>
      <c r="D127" s="1194">
        <f>SUM(D107:D126)</f>
        <v/>
      </c>
      <c r="E127" s="1086" t="n"/>
    </row>
    <row r="128" ht="15" customHeight="1" thickBot="1">
      <c r="A128" s="569" t="inlineStr">
        <is>
          <t>GST LATE FEES</t>
        </is>
      </c>
      <c r="B128" s="1194" t="n">
        <v>0</v>
      </c>
      <c r="C128" s="1194" t="n">
        <v>0</v>
      </c>
      <c r="D128" s="1194">
        <f>+B128+C128</f>
        <v/>
      </c>
      <c r="E128" s="1086" t="n"/>
    </row>
    <row r="129" ht="15" customHeight="1" thickBot="1">
      <c r="A129" s="569" t="inlineStr">
        <is>
          <t xml:space="preserve">           Net GST Payable</t>
        </is>
      </c>
      <c r="B129" s="1194">
        <f>+B127+B128</f>
        <v/>
      </c>
      <c r="C129" s="1194">
        <f>B129</f>
        <v/>
      </c>
      <c r="D129" s="1194">
        <f>B129+C129</f>
        <v/>
      </c>
      <c r="E129" s="1086" t="n"/>
      <c r="H129" s="1007" t="n"/>
    </row>
    <row r="130">
      <c r="F130" s="1007" t="n"/>
      <c r="H130" s="1007" t="n"/>
    </row>
    <row r="131">
      <c r="F131" s="1007" t="n"/>
    </row>
    <row r="132" ht="20.25" customHeight="1">
      <c r="A132" s="815" t="inlineStr">
        <is>
          <t>Summary of Payment Project Wise</t>
        </is>
      </c>
      <c r="B132" s="1254" t="n"/>
      <c r="C132" s="1254" t="n"/>
      <c r="D132" s="1255" t="n"/>
      <c r="F132" s="1007" t="n"/>
      <c r="G132" s="1007" t="n"/>
    </row>
    <row r="133" ht="20.25" customHeight="1">
      <c r="A133" s="699" t="inlineStr">
        <is>
          <t>Project Gravitas</t>
        </is>
      </c>
      <c r="B133" s="815" t="inlineStr">
        <is>
          <t>CGST</t>
        </is>
      </c>
      <c r="C133" s="815" t="inlineStr">
        <is>
          <t>SGST</t>
        </is>
      </c>
      <c r="D133" s="815" t="inlineStr">
        <is>
          <t>TOTAL</t>
        </is>
      </c>
      <c r="F133" s="1007" t="n"/>
    </row>
    <row r="134">
      <c r="A134" s="331" t="inlineStr">
        <is>
          <t>Regular</t>
        </is>
      </c>
      <c r="B134" s="982">
        <f>+B107</f>
        <v/>
      </c>
      <c r="C134" s="982">
        <f>+C107</f>
        <v/>
      </c>
      <c r="D134" s="982">
        <f>+D107+1</f>
        <v/>
      </c>
      <c r="F134" s="1007" t="n"/>
    </row>
    <row r="135">
      <c r="A135" s="331" t="inlineStr">
        <is>
          <t>RCM</t>
        </is>
      </c>
      <c r="B135" s="982">
        <f>+B120</f>
        <v/>
      </c>
      <c r="C135" s="982">
        <f>+C120</f>
        <v/>
      </c>
      <c r="D135" s="982">
        <f>+D120</f>
        <v/>
      </c>
      <c r="F135" s="1007" t="n"/>
    </row>
    <row r="136">
      <c r="A136" s="700" t="inlineStr">
        <is>
          <t xml:space="preserve">Total </t>
        </is>
      </c>
      <c r="B136" s="1391">
        <f>SUM(B134:B135)</f>
        <v/>
      </c>
      <c r="C136" s="1391">
        <f>SUM(C134:C135)</f>
        <v/>
      </c>
      <c r="D136" s="1391">
        <f>SUM(D134:D135)</f>
        <v/>
      </c>
      <c r="F136" s="1007" t="n"/>
    </row>
    <row r="137" ht="18" customHeight="1">
      <c r="A137" s="699" t="inlineStr">
        <is>
          <t>Project Atmosphere</t>
        </is>
      </c>
      <c r="B137" s="1392" t="n"/>
      <c r="C137" s="1392" t="n"/>
      <c r="D137" s="1392" t="n"/>
      <c r="F137" s="1007" t="n"/>
    </row>
    <row r="138">
      <c r="A138" s="331" t="inlineStr">
        <is>
          <t>Regular</t>
        </is>
      </c>
      <c r="B138" s="982">
        <f>+B109</f>
        <v/>
      </c>
      <c r="C138" s="982">
        <f>+C109</f>
        <v/>
      </c>
      <c r="D138" s="982">
        <f>+D109</f>
        <v/>
      </c>
      <c r="F138" s="1007" t="n"/>
    </row>
    <row r="139">
      <c r="A139" s="331" t="inlineStr">
        <is>
          <t>RCM</t>
        </is>
      </c>
      <c r="B139" s="982">
        <f>+B121</f>
        <v/>
      </c>
      <c r="C139" s="982">
        <f>+C121</f>
        <v/>
      </c>
      <c r="D139" s="982">
        <f>+D121</f>
        <v/>
      </c>
      <c r="F139" s="1007" t="n"/>
    </row>
    <row r="140">
      <c r="A140" s="700" t="inlineStr">
        <is>
          <t xml:space="preserve">Total </t>
        </is>
      </c>
      <c r="B140" s="1391">
        <f>SUM(B138:B139)</f>
        <v/>
      </c>
      <c r="C140" s="1391">
        <f>SUM(C138:C139)</f>
        <v/>
      </c>
      <c r="D140" s="1391">
        <f>SUM(D138:D139)</f>
        <v/>
      </c>
      <c r="F140" s="1007" t="n"/>
    </row>
    <row r="141" ht="18" customHeight="1">
      <c r="A141" s="699" t="inlineStr">
        <is>
          <t>Project Footprint</t>
        </is>
      </c>
      <c r="B141" s="1392" t="n"/>
      <c r="C141" s="1392" t="n"/>
      <c r="D141" s="1392" t="n"/>
      <c r="F141" s="1007" t="n"/>
    </row>
    <row r="142">
      <c r="A142" s="331" t="inlineStr">
        <is>
          <t>Regular</t>
        </is>
      </c>
      <c r="B142" s="982">
        <f>+B111</f>
        <v/>
      </c>
      <c r="C142" s="982">
        <f>+C111</f>
        <v/>
      </c>
      <c r="D142" s="982">
        <f>+D111</f>
        <v/>
      </c>
    </row>
    <row r="143">
      <c r="A143" s="331" t="inlineStr">
        <is>
          <t>RCM</t>
        </is>
      </c>
      <c r="B143" s="982">
        <f>+B122</f>
        <v/>
      </c>
      <c r="C143" s="982">
        <f>+C122</f>
        <v/>
      </c>
      <c r="D143" s="982">
        <f>+B143+C143</f>
        <v/>
      </c>
    </row>
    <row r="144">
      <c r="A144" s="700" t="inlineStr">
        <is>
          <t xml:space="preserve">Total </t>
        </is>
      </c>
      <c r="B144" s="1391">
        <f>SUM(B142:B143)</f>
        <v/>
      </c>
      <c r="C144" s="1391">
        <f>SUM(C142:C143)</f>
        <v/>
      </c>
      <c r="D144" s="1391">
        <f>SUM(D142:D143)</f>
        <v/>
      </c>
    </row>
    <row r="145" ht="18" customHeight="1">
      <c r="A145" s="699" t="inlineStr">
        <is>
          <t>Project Sun Park West</t>
        </is>
      </c>
      <c r="B145" s="1392" t="n"/>
      <c r="C145" s="1392" t="n"/>
      <c r="D145" s="1392" t="n"/>
    </row>
    <row r="146">
      <c r="A146" s="331" t="inlineStr">
        <is>
          <t>Regular</t>
        </is>
      </c>
      <c r="B146" s="982">
        <f>+B113</f>
        <v/>
      </c>
      <c r="C146" s="982">
        <f>+C113</f>
        <v/>
      </c>
      <c r="D146" s="982">
        <f>+D113</f>
        <v/>
      </c>
    </row>
    <row r="147">
      <c r="A147" s="331" t="inlineStr">
        <is>
          <t>RCM</t>
        </is>
      </c>
      <c r="B147" s="982">
        <f>+B123</f>
        <v/>
      </c>
      <c r="C147" s="982">
        <f>+C123</f>
        <v/>
      </c>
      <c r="D147" s="982">
        <f>+D123</f>
        <v/>
      </c>
    </row>
    <row r="148">
      <c r="A148" s="700" t="inlineStr">
        <is>
          <t xml:space="preserve">Total </t>
        </is>
      </c>
      <c r="B148" s="1391">
        <f>SUM(B146:B147)</f>
        <v/>
      </c>
      <c r="C148" s="1391">
        <f>SUM(C146:C147)</f>
        <v/>
      </c>
      <c r="D148" s="1391">
        <f>SUM(D146:D147)</f>
        <v/>
      </c>
      <c r="E148" s="1007" t="n"/>
    </row>
    <row r="149" ht="18" customHeight="1">
      <c r="A149" s="699" t="inlineStr">
        <is>
          <t>Project Sun Silver Springs</t>
        </is>
      </c>
      <c r="B149" s="1392" t="n"/>
      <c r="C149" s="1392" t="n"/>
      <c r="D149" s="1392" t="n"/>
      <c r="E149" s="1007" t="n"/>
    </row>
    <row r="150">
      <c r="A150" s="331" t="inlineStr">
        <is>
          <t>Regular</t>
        </is>
      </c>
      <c r="B150" s="982">
        <f>+B115</f>
        <v/>
      </c>
      <c r="C150" s="982">
        <f>+C115</f>
        <v/>
      </c>
      <c r="D150" s="982">
        <f>+D115</f>
        <v/>
      </c>
      <c r="E150" s="1007" t="n"/>
    </row>
    <row r="151">
      <c r="A151" s="331" t="inlineStr">
        <is>
          <t>RCM</t>
        </is>
      </c>
      <c r="B151" s="982">
        <f>+B124</f>
        <v/>
      </c>
      <c r="C151" s="982">
        <f>+C124</f>
        <v/>
      </c>
      <c r="D151" s="982">
        <f>+D124</f>
        <v/>
      </c>
      <c r="E151" s="1007" t="n"/>
    </row>
    <row r="152">
      <c r="A152" s="700" t="inlineStr">
        <is>
          <t xml:space="preserve">Total </t>
        </is>
      </c>
      <c r="B152" s="1391">
        <f>SUM(B150:B151)</f>
        <v/>
      </c>
      <c r="C152" s="1391">
        <f>SUM(C150:C151)</f>
        <v/>
      </c>
      <c r="D152" s="1391">
        <f>SUM(D150:D151)</f>
        <v/>
      </c>
      <c r="E152" s="1007" t="n"/>
    </row>
    <row r="153">
      <c r="A153" s="703" t="inlineStr">
        <is>
          <t>Other Payable Interest and Late Fees</t>
        </is>
      </c>
      <c r="B153" s="1392">
        <f>+B125+B126</f>
        <v/>
      </c>
      <c r="C153" s="1392">
        <f>+C125+C126</f>
        <v/>
      </c>
      <c r="D153" s="1392">
        <f>SUM(B153:C153)</f>
        <v/>
      </c>
    </row>
    <row r="154">
      <c r="A154" s="703" t="n"/>
      <c r="B154" s="1392" t="n"/>
      <c r="C154" s="1392" t="n"/>
      <c r="D154" s="1392" t="n"/>
    </row>
    <row r="155" ht="20.25" customHeight="1">
      <c r="A155" s="704" t="inlineStr">
        <is>
          <t>Grand Total Payable</t>
        </is>
      </c>
      <c r="B155" s="1393">
        <f>+B136+B140+B144+B148+B152+B153</f>
        <v/>
      </c>
      <c r="C155" s="1393">
        <f>+C136+C140+C144+C148+C152+C153</f>
        <v/>
      </c>
      <c r="D155" s="1393">
        <f>+D136+D140+D144+D148+D152+D153</f>
        <v/>
      </c>
    </row>
    <row r="156">
      <c r="A156" s="706" t="n"/>
    </row>
    <row r="157">
      <c r="B157" s="342">
        <f>+B138+B142+B146</f>
        <v/>
      </c>
      <c r="D157" s="1">
        <f>164104+399224+110502</f>
        <v/>
      </c>
    </row>
    <row r="158">
      <c r="B158" s="1007" t="n"/>
      <c r="C158" s="1007" t="n"/>
      <c r="D158" s="1007" t="n"/>
    </row>
    <row r="159">
      <c r="B159" s="1007" t="n"/>
    </row>
    <row r="160">
      <c r="A160" s="795" t="n"/>
      <c r="C160" s="440" t="n"/>
      <c r="D160" s="440" t="n"/>
      <c r="E160" s="654" t="n"/>
      <c r="F160" s="1374" t="n"/>
    </row>
    <row r="161">
      <c r="A161" s="795" t="n"/>
      <c r="C161" s="440" t="n"/>
      <c r="D161" s="440" t="n"/>
      <c r="E161" s="654" t="n"/>
      <c r="F161" s="1374" t="n"/>
    </row>
    <row r="162">
      <c r="A162" s="795" t="n"/>
      <c r="C162" s="440" t="n"/>
      <c r="D162" s="440" t="n"/>
      <c r="E162" s="654" t="n"/>
      <c r="F162" s="1374" t="n"/>
    </row>
    <row r="163">
      <c r="A163" s="795" t="n"/>
      <c r="C163" s="440" t="n"/>
      <c r="D163" s="440" t="n"/>
      <c r="E163" s="654" t="n"/>
      <c r="F163" s="1374" t="n"/>
    </row>
    <row r="164">
      <c r="A164" s="795" t="n"/>
      <c r="C164" s="440" t="n"/>
      <c r="D164" s="440" t="n"/>
      <c r="E164" s="654" t="n"/>
      <c r="F164" s="1374" t="n"/>
    </row>
    <row r="165">
      <c r="A165" s="795" t="n"/>
      <c r="C165" s="440" t="n"/>
      <c r="D165" s="440" t="n"/>
      <c r="E165" s="654" t="n"/>
      <c r="F165" s="1374" t="n"/>
    </row>
    <row r="166">
      <c r="A166" s="795" t="n"/>
      <c r="C166" s="440" t="n"/>
      <c r="D166" s="440" t="n"/>
      <c r="E166" s="654" t="n"/>
      <c r="F166" s="1374" t="n"/>
    </row>
    <row r="167">
      <c r="A167" s="795" t="n"/>
      <c r="C167" s="440" t="n"/>
      <c r="D167" s="440" t="n"/>
      <c r="E167" s="654" t="n"/>
      <c r="F167" s="1374" t="n"/>
    </row>
    <row r="168">
      <c r="B168" s="330" t="n"/>
      <c r="F168" s="1394" t="n"/>
    </row>
    <row r="175">
      <c r="A175" s="1">
        <f>+'SUN REALTY ATMOS-CALC'!A92</f>
        <v/>
      </c>
    </row>
  </sheetData>
  <mergeCells count="18">
    <mergeCell ref="A132:D132"/>
    <mergeCell ref="F45:F46"/>
    <mergeCell ref="B47:C47"/>
    <mergeCell ref="G70:J70"/>
    <mergeCell ref="A52:F52"/>
    <mergeCell ref="B48:C48"/>
    <mergeCell ref="A91:D91"/>
    <mergeCell ref="B53:H53"/>
    <mergeCell ref="A100:D100"/>
    <mergeCell ref="B45:C46"/>
    <mergeCell ref="A45:A46"/>
    <mergeCell ref="E45:E46"/>
    <mergeCell ref="H45:H46"/>
    <mergeCell ref="B50:C50"/>
    <mergeCell ref="G45:G46"/>
    <mergeCell ref="B49:C49"/>
    <mergeCell ref="A68:D68"/>
    <mergeCell ref="D45:D46"/>
  </mergeCells>
  <hyperlinks>
    <hyperlink xmlns:r="http://schemas.openxmlformats.org/officeDocument/2006/relationships" ref="G6" r:id="rId1"/>
    <hyperlink xmlns:r="http://schemas.openxmlformats.org/officeDocument/2006/relationships" ref="D36" r:id="rId2"/>
    <hyperlink xmlns:r="http://schemas.openxmlformats.org/officeDocument/2006/relationships" ref="E54" r:id="rId3"/>
  </hyperlinks>
  <pageMargins left="0.7" right="0.7" top="0.75" bottom="0.75" header="0.3" footer="0.3"/>
  <pageSetup orientation="landscape" paperSize="9" scale="20"/>
</worksheet>
</file>

<file path=xl/worksheets/sheet15.xml><?xml version="1.0" encoding="utf-8"?>
<worksheet xmlns="http://schemas.openxmlformats.org/spreadsheetml/2006/main">
  <sheetPr codeName="Sheet13">
    <outlinePr summaryBelow="1" summaryRight="1"/>
    <pageSetUpPr/>
  </sheetPr>
  <dimension ref="A1:E70"/>
  <sheetViews>
    <sheetView view="pageBreakPreview" topLeftCell="A39" zoomScaleSheetLayoutView="100" workbookViewId="0">
      <selection activeCell="B37" sqref="B37"/>
    </sheetView>
  </sheetViews>
  <sheetFormatPr baseColWidth="8" defaultColWidth="9" defaultRowHeight="15"/>
  <cols>
    <col width="4.42578125" customWidth="1" min="1" max="1"/>
    <col width="12.7109375" customWidth="1" style="238" min="2" max="2"/>
    <col width="69.42578125" customWidth="1" min="3" max="3"/>
    <col width="18.5703125" bestFit="1" customWidth="1" min="4" max="5"/>
  </cols>
  <sheetData>
    <row r="1">
      <c r="A1" s="1" t="n"/>
    </row>
    <row r="2" ht="18.75" customHeight="1">
      <c r="A2" s="1395" t="inlineStr">
        <is>
          <t>MONTHLY ENTRIES FOR M/s. SUN REALTY-GRAVITAS</t>
        </is>
      </c>
      <c r="B2" s="972" t="n"/>
      <c r="C2" s="972" t="n"/>
      <c r="D2" s="972" t="n"/>
      <c r="E2" s="973" t="n"/>
    </row>
    <row r="3">
      <c r="A3" s="1396" t="n">
        <v>46265</v>
      </c>
      <c r="B3" s="972" t="n"/>
      <c r="C3" s="972" t="n"/>
      <c r="D3" s="972" t="n"/>
      <c r="E3" s="973" t="n"/>
    </row>
    <row r="4"/>
    <row r="5">
      <c r="A5" s="1397" t="inlineStr">
        <is>
          <t>Sr. No.</t>
        </is>
      </c>
      <c r="B5" s="1398" t="inlineStr">
        <is>
          <t>Date</t>
        </is>
      </c>
      <c r="C5" s="1399" t="inlineStr">
        <is>
          <t>Particulars</t>
        </is>
      </c>
      <c r="D5" s="265" t="inlineStr">
        <is>
          <t>Amt(Rs.)</t>
        </is>
      </c>
      <c r="E5" s="265" t="inlineStr">
        <is>
          <t>Amt(Rs.)</t>
        </is>
      </c>
    </row>
    <row r="6">
      <c r="A6" s="979" t="n"/>
      <c r="B6" s="970" t="n"/>
      <c r="C6" s="979" t="n"/>
      <c r="D6" s="266" t="inlineStr">
        <is>
          <t>Dr.</t>
        </is>
      </c>
      <c r="E6" s="266" t="inlineStr">
        <is>
          <t>Cr.</t>
        </is>
      </c>
    </row>
    <row r="7">
      <c r="A7" s="2" t="n"/>
      <c r="B7" s="239" t="n"/>
      <c r="C7" s="2" t="n"/>
      <c r="D7" s="3" t="n"/>
      <c r="E7" s="3" t="n"/>
    </row>
    <row r="8">
      <c r="A8" s="4" t="n">
        <v>1</v>
      </c>
      <c r="B8" s="248" t="n">
        <v>46265</v>
      </c>
      <c r="C8" s="5" t="inlineStr">
        <is>
          <t>CGST on collection  A/c                                   Dr</t>
        </is>
      </c>
      <c r="D8" s="1197">
        <f>+'FINAL CALC'!B104</f>
        <v/>
      </c>
      <c r="E8" s="1400" t="n"/>
    </row>
    <row r="9">
      <c r="A9" s="4" t="n"/>
      <c r="B9" s="248" t="n"/>
      <c r="C9" s="5" t="inlineStr">
        <is>
          <t>SGST on collection  A/c                                   Dr</t>
        </is>
      </c>
      <c r="D9" s="1197">
        <f>+D8</f>
        <v/>
      </c>
      <c r="E9" s="1400" t="n"/>
    </row>
    <row r="10">
      <c r="A10" s="8" t="n"/>
      <c r="B10" s="249" t="n"/>
      <c r="C10" s="5" t="inlineStr">
        <is>
          <t xml:space="preserve">             To CGST payable  A/c</t>
        </is>
      </c>
      <c r="D10" s="1400" t="n"/>
      <c r="E10" s="1197">
        <f>+D8</f>
        <v/>
      </c>
    </row>
    <row r="11">
      <c r="A11" s="8" t="n"/>
      <c r="B11" s="249" t="n"/>
      <c r="C11" s="5" t="inlineStr">
        <is>
          <t xml:space="preserve">             To SGST payable  A/c</t>
        </is>
      </c>
      <c r="D11" s="1400" t="n"/>
      <c r="E11" s="1197">
        <f>+D9</f>
        <v/>
      </c>
    </row>
    <row r="12">
      <c r="A12" s="8" t="n"/>
      <c r="B12" s="249" t="n"/>
      <c r="C12" s="8" t="inlineStr">
        <is>
          <t>(Being gst collected transferred to gst payable</t>
        </is>
      </c>
      <c r="D12" s="1400" t="n"/>
      <c r="E12" s="1400" t="n"/>
    </row>
    <row r="13">
      <c r="A13" s="8" t="n"/>
      <c r="B13" s="249" t="n"/>
      <c r="C13" s="8" t="inlineStr">
        <is>
          <t>for the month of Apr-26)</t>
        </is>
      </c>
      <c r="D13" s="1400" t="n"/>
      <c r="E13" s="1400" t="n"/>
    </row>
    <row r="14">
      <c r="A14" s="8" t="n"/>
      <c r="B14" s="249" t="n"/>
      <c r="C14" s="8" t="n"/>
      <c r="D14" s="1400" t="n"/>
      <c r="E14" s="1400" t="n"/>
    </row>
    <row r="15">
      <c r="A15" s="4" t="n">
        <v>2</v>
      </c>
      <c r="B15" s="248">
        <f>+B8</f>
        <v/>
      </c>
      <c r="C15" s="5" t="inlineStr">
        <is>
          <t>CGST Receivable RCM  A/c                              Dr</t>
        </is>
      </c>
      <c r="D15" s="1197">
        <f>'SUN REALTY-CALC'!D55</f>
        <v/>
      </c>
      <c r="E15" s="1400" t="n"/>
    </row>
    <row r="16">
      <c r="A16" s="4" t="n"/>
      <c r="B16" s="248" t="n"/>
      <c r="C16" s="5" t="inlineStr">
        <is>
          <t>SGST Receivable RCM  A/c                              Dr</t>
        </is>
      </c>
      <c r="D16" s="1197">
        <f>'SUN REALTY-CALC'!E55</f>
        <v/>
      </c>
      <c r="E16" s="1400" t="n"/>
    </row>
    <row r="17">
      <c r="A17" s="8" t="n"/>
      <c r="B17" s="249" t="n"/>
      <c r="C17" s="5" t="inlineStr">
        <is>
          <t xml:space="preserve">             To CGST payable  A/c</t>
        </is>
      </c>
      <c r="D17" s="1400" t="n"/>
      <c r="E17" s="1197">
        <f>+D15</f>
        <v/>
      </c>
    </row>
    <row r="18">
      <c r="A18" s="8" t="n"/>
      <c r="B18" s="249" t="n"/>
      <c r="C18" s="5" t="inlineStr">
        <is>
          <t xml:space="preserve">             To SGST payable  A/c</t>
        </is>
      </c>
      <c r="D18" s="1400" t="n"/>
      <c r="E18" s="1197">
        <f>+D16</f>
        <v/>
      </c>
    </row>
    <row r="19">
      <c r="A19" s="8" t="n"/>
      <c r="B19" s="249" t="n"/>
      <c r="C19" s="8" t="inlineStr">
        <is>
          <t xml:space="preserve">(Being GST payable under RCM transferred to </t>
        </is>
      </c>
      <c r="D19" s="1400" t="n"/>
      <c r="E19" s="1400" t="n"/>
    </row>
    <row r="20">
      <c r="A20" s="8" t="n"/>
      <c r="B20" s="249" t="n"/>
      <c r="C20" s="8" t="inlineStr">
        <is>
          <t>GST payabel A/C for the month of Apr-26)</t>
        </is>
      </c>
      <c r="D20" s="1400" t="n"/>
      <c r="E20" s="1400" t="n"/>
    </row>
    <row r="21">
      <c r="A21" s="8" t="n"/>
      <c r="B21" s="249" t="n"/>
      <c r="C21" s="8" t="n"/>
      <c r="D21" s="1400" t="n"/>
      <c r="E21" s="1400" t="n"/>
    </row>
    <row r="22">
      <c r="A22" s="4" t="n">
        <v>3</v>
      </c>
      <c r="B22" s="248">
        <f>+B15</f>
        <v/>
      </c>
      <c r="C22" s="5" t="inlineStr">
        <is>
          <t>CGST Receivable         A/c                               Dr</t>
        </is>
      </c>
      <c r="D22" s="1197">
        <f>'FINAL CALC'!B120</f>
        <v/>
      </c>
      <c r="E22" s="1197" t="n"/>
    </row>
    <row r="23">
      <c r="A23" s="4" t="n"/>
      <c r="B23" s="248" t="n"/>
      <c r="C23" s="5" t="inlineStr">
        <is>
          <t>SGST Receivable         A/c                               Dr</t>
        </is>
      </c>
      <c r="D23" s="1197">
        <f>'FINAL CALC'!C120</f>
        <v/>
      </c>
      <c r="E23" s="1197" t="n"/>
    </row>
    <row r="24">
      <c r="A24" s="8" t="n"/>
      <c r="B24" s="249" t="n"/>
      <c r="C24" s="5" t="inlineStr">
        <is>
          <t xml:space="preserve">             To CGST Receivable RCM  A/c</t>
        </is>
      </c>
      <c r="D24" s="1197" t="n"/>
      <c r="E24" s="1197">
        <f>D22</f>
        <v/>
      </c>
    </row>
    <row r="25">
      <c r="A25" s="8" t="n"/>
      <c r="B25" s="249" t="n"/>
      <c r="C25" s="5" t="inlineStr">
        <is>
          <t xml:space="preserve">             To SGST Receivable RCM  A/c</t>
        </is>
      </c>
      <c r="D25" s="1197" t="n"/>
      <c r="E25" s="1197">
        <f>D23</f>
        <v/>
      </c>
    </row>
    <row r="26">
      <c r="A26" s="8" t="n"/>
      <c r="B26" s="249" t="n"/>
      <c r="C26" s="8" t="inlineStr">
        <is>
          <t>(Being Credit of RCM transferred to Receivable</t>
        </is>
      </c>
      <c r="D26" s="8" t="n"/>
      <c r="E26" s="8" t="n"/>
    </row>
    <row r="27">
      <c r="A27" s="8" t="n"/>
      <c r="B27" s="249" t="n"/>
      <c r="C27" s="8" t="inlineStr">
        <is>
          <t>A/c for the month of Apr-26)</t>
        </is>
      </c>
      <c r="D27" s="8" t="n"/>
      <c r="E27" s="8" t="n"/>
    </row>
    <row r="28">
      <c r="A28" s="8" t="n"/>
      <c r="B28" s="249" t="n"/>
      <c r="C28" s="8" t="n"/>
      <c r="D28" s="8" t="n"/>
      <c r="E28" s="8" t="n"/>
    </row>
    <row r="29">
      <c r="A29" s="4" t="n">
        <v>4</v>
      </c>
      <c r="B29" s="248">
        <f>+B22</f>
        <v/>
      </c>
      <c r="C29" s="5" t="inlineStr">
        <is>
          <t>CGST payable  A/c                                         Dr.</t>
        </is>
      </c>
      <c r="D29" s="1400">
        <f>-'FINAL CALC'!B106</f>
        <v/>
      </c>
      <c r="E29" s="8" t="n"/>
    </row>
    <row r="30">
      <c r="A30" s="4" t="n"/>
      <c r="B30" s="248" t="n"/>
      <c r="C30" s="5" t="inlineStr">
        <is>
          <t>SGST payable  A/c                                         Dr.</t>
        </is>
      </c>
      <c r="D30" s="1400">
        <f>-'FINAL CALC'!C106</f>
        <v/>
      </c>
      <c r="E30" s="8" t="n"/>
    </row>
    <row r="31">
      <c r="A31" s="8" t="n"/>
      <c r="B31" s="247" t="n"/>
      <c r="C31" s="5" t="inlineStr">
        <is>
          <t xml:space="preserve">                   To CGST Receivable   A/c</t>
        </is>
      </c>
      <c r="D31" s="8" t="n"/>
      <c r="E31" s="1400">
        <f>-'FINAL CALC'!B86</f>
        <v/>
      </c>
    </row>
    <row r="32">
      <c r="A32" s="8" t="n"/>
      <c r="B32" s="247" t="n"/>
      <c r="C32" s="5" t="inlineStr">
        <is>
          <t xml:space="preserve">                   To SGST Receivable   A/c</t>
        </is>
      </c>
      <c r="D32" s="8" t="n"/>
      <c r="E32" s="1400">
        <f>+E31</f>
        <v/>
      </c>
    </row>
    <row r="33">
      <c r="A33" s="8" t="n"/>
      <c r="B33" s="5" t="n"/>
      <c r="C33" s="5" t="inlineStr">
        <is>
          <t xml:space="preserve">                   To IGST Receivable   A/c</t>
        </is>
      </c>
      <c r="D33" s="8" t="n"/>
      <c r="E33" s="1400">
        <f>-'FINAL CALC'!D85</f>
        <v/>
      </c>
    </row>
    <row r="34">
      <c r="A34" s="8" t="n"/>
      <c r="B34" s="5" t="n"/>
      <c r="C34" s="8" t="inlineStr">
        <is>
          <t xml:space="preserve">(Being Set off taken for the month of Apr-26) </t>
        </is>
      </c>
      <c r="D34" s="8" t="n"/>
      <c r="E34" s="8" t="n"/>
    </row>
    <row r="35">
      <c r="A35" s="8" t="n"/>
      <c r="B35" s="5" t="n"/>
      <c r="C35" s="8" t="n"/>
      <c r="D35" s="8" t="n"/>
      <c r="E35" s="8" t="n"/>
    </row>
    <row r="36">
      <c r="A36" s="267" t="n">
        <v>5</v>
      </c>
      <c r="B36" s="268" t="n">
        <v>46285</v>
      </c>
      <c r="C36" s="269" t="inlineStr">
        <is>
          <t>CGST payable  A/c                                         Dr.</t>
        </is>
      </c>
      <c r="D36" s="1401">
        <f>+'FINAL CALC'!B107+'FINAL CALC'!B120</f>
        <v/>
      </c>
      <c r="E36" s="271" t="n"/>
    </row>
    <row r="37">
      <c r="A37" s="267" t="n"/>
      <c r="B37" s="269" t="n"/>
      <c r="C37" s="269" t="inlineStr">
        <is>
          <t>SGST payable  A/c                                         Dr.</t>
        </is>
      </c>
      <c r="D37" s="1401">
        <f>+D36</f>
        <v/>
      </c>
      <c r="E37" s="1401" t="n"/>
    </row>
    <row r="38">
      <c r="A38" s="267" t="n"/>
      <c r="B38" s="269" t="n"/>
      <c r="C38" s="269" t="inlineStr">
        <is>
          <t>GST Interest A/C.                                          Dr.</t>
        </is>
      </c>
      <c r="D38" s="1401">
        <f>+'FINAL CALC'!D126</f>
        <v/>
      </c>
      <c r="E38" s="1401" t="n"/>
    </row>
    <row r="39">
      <c r="A39" s="267" t="n"/>
      <c r="B39" s="269" t="n"/>
      <c r="C39" s="269" t="inlineStr">
        <is>
          <t>GST late fees A/C.                                          Dr.</t>
        </is>
      </c>
      <c r="D39" s="1401">
        <f>+'FINAL CALC'!D125</f>
        <v/>
      </c>
      <c r="E39" s="1401" t="n"/>
    </row>
    <row r="40">
      <c r="A40" s="267" t="n"/>
      <c r="B40" s="269" t="n"/>
      <c r="C40" s="269" t="inlineStr">
        <is>
          <t xml:space="preserve">                   To BANK.  A/c</t>
        </is>
      </c>
      <c r="D40" s="1401" t="n"/>
      <c r="E40" s="1401">
        <f>+SUM(D36:D39)</f>
        <v/>
      </c>
    </row>
    <row r="41">
      <c r="A41" s="267" t="n"/>
      <c r="B41" s="269" t="n"/>
      <c r="C41" s="272" t="inlineStr">
        <is>
          <t>(Being amount of GST PAID)</t>
        </is>
      </c>
      <c r="D41" s="1401" t="n"/>
      <c r="E41" s="1401" t="n"/>
    </row>
    <row r="42">
      <c r="A42" s="267" t="n"/>
      <c r="B42" s="269" t="n"/>
      <c r="C42" s="272" t="n"/>
      <c r="D42" s="1401" t="n"/>
      <c r="E42" s="1401" t="n"/>
    </row>
    <row r="43">
      <c r="A43" s="8" t="n"/>
      <c r="B43" s="5" t="n"/>
      <c r="C43" s="8" t="n"/>
      <c r="D43" s="8" t="n"/>
      <c r="E43" s="8" t="n"/>
    </row>
    <row r="44">
      <c r="A44" s="4" t="n">
        <v>6</v>
      </c>
      <c r="B44" s="240">
        <f>+B29</f>
        <v/>
      </c>
      <c r="C44" s="5" t="inlineStr">
        <is>
          <t>GST Exp                  A/c                               Dr</t>
        </is>
      </c>
      <c r="D44" s="1197">
        <f>-'FINAL CALC'!B87-'FINAL CALC'!C87-'FINAL CALC'!D87</f>
        <v/>
      </c>
      <c r="E44" s="8" t="n"/>
    </row>
    <row r="45">
      <c r="A45" s="8" t="n"/>
      <c r="B45" s="5" t="n"/>
      <c r="C45" s="5" t="inlineStr">
        <is>
          <t xml:space="preserve">                 TO CGST Receivable   A/c                             </t>
        </is>
      </c>
      <c r="D45" s="8" t="n"/>
      <c r="E45" s="1197">
        <f>-'FINAL CALC'!B87</f>
        <v/>
      </c>
    </row>
    <row r="46">
      <c r="A46" s="8" t="n"/>
      <c r="B46" s="5" t="n"/>
      <c r="C46" s="5" t="inlineStr">
        <is>
          <t xml:space="preserve">                 TO SGST Receivable  A/c                             </t>
        </is>
      </c>
      <c r="D46" s="8" t="n"/>
      <c r="E46" s="1197">
        <f>-'FINAL CALC'!C87</f>
        <v/>
      </c>
    </row>
    <row r="47">
      <c r="A47" s="8" t="n"/>
      <c r="B47" s="5" t="n"/>
      <c r="C47" s="5" t="inlineStr">
        <is>
          <t xml:space="preserve">                 TO IGST Receivable  A/c                             </t>
        </is>
      </c>
      <c r="D47" s="8" t="n"/>
      <c r="E47" s="1197">
        <f>-'FINAL CALC'!D87</f>
        <v/>
      </c>
    </row>
    <row r="48" ht="29.25" customHeight="1">
      <c r="A48" s="8" t="n"/>
      <c r="B48" s="5" t="n"/>
      <c r="C48" s="246" t="inlineStr">
        <is>
          <t>( Being Credit is reversed under  Rule 42 &amp; 43 ineligible credit )</t>
        </is>
      </c>
      <c r="D48" s="8" t="n"/>
      <c r="E48" s="8" t="n"/>
    </row>
    <row r="49">
      <c r="A49" s="8" t="n"/>
      <c r="B49" s="5" t="n"/>
      <c r="C49" s="8" t="n"/>
      <c r="D49" s="8" t="n"/>
      <c r="E49" s="8" t="n"/>
    </row>
    <row r="50">
      <c r="A50" s="4" t="n">
        <v>7</v>
      </c>
      <c r="B50" s="240">
        <f>+B44</f>
        <v/>
      </c>
      <c r="C50" s="5" t="inlineStr">
        <is>
          <t>CGST Receivable         A/c                               Dr</t>
        </is>
      </c>
      <c r="D50" s="8">
        <f>'SUN REALTY-CALC'!B66</f>
        <v/>
      </c>
      <c r="E50" s="8" t="n"/>
    </row>
    <row r="51">
      <c r="A51" s="8" t="n"/>
      <c r="B51" s="5" t="n"/>
      <c r="C51" s="5" t="inlineStr">
        <is>
          <t>SGST Receivable         A/c                               Dr</t>
        </is>
      </c>
      <c r="D51" s="8">
        <f>'SUN REALTY-CALC'!C66</f>
        <v/>
      </c>
      <c r="E51" s="8" t="n"/>
    </row>
    <row r="52">
      <c r="A52" s="8" t="n"/>
      <c r="B52" s="5" t="n"/>
      <c r="C52" s="5" t="inlineStr">
        <is>
          <t>IGST Receivable         A/c                               Dr</t>
        </is>
      </c>
      <c r="D52" s="8">
        <f>'FINAL CALC'!D77</f>
        <v/>
      </c>
      <c r="E52" s="8" t="n"/>
    </row>
    <row r="53">
      <c r="A53" s="8" t="n"/>
      <c r="B53" s="5" t="n"/>
      <c r="C53" s="74" t="inlineStr">
        <is>
          <t xml:space="preserve">             To Provisional  CGST Receivable A/c</t>
        </is>
      </c>
      <c r="D53" s="8" t="n"/>
      <c r="E53" s="8">
        <f>D50</f>
        <v/>
      </c>
    </row>
    <row r="54">
      <c r="A54" s="8" t="n"/>
      <c r="B54" s="5" t="n"/>
      <c r="C54" s="74" t="inlineStr">
        <is>
          <t xml:space="preserve">             To Provisional  SGST Receivable A/c</t>
        </is>
      </c>
      <c r="D54" s="8" t="n"/>
      <c r="E54" s="8">
        <f>D51</f>
        <v/>
      </c>
    </row>
    <row r="55">
      <c r="A55" s="8" t="n"/>
      <c r="B55" s="5" t="n"/>
      <c r="C55" s="74" t="inlineStr">
        <is>
          <t xml:space="preserve">             To Provisional  IGST Receivable A/c</t>
        </is>
      </c>
      <c r="D55" s="8" t="n"/>
      <c r="E55" s="8">
        <f>D52</f>
        <v/>
      </c>
    </row>
    <row r="56">
      <c r="A56" s="4" t="n"/>
      <c r="B56" s="5" t="n"/>
      <c r="C56" s="8" t="inlineStr">
        <is>
          <t>(Being ITC of previous month ,reflacted in Current month ,</t>
        </is>
      </c>
      <c r="D56" s="1197" t="n"/>
      <c r="E56" s="1197" t="n"/>
    </row>
    <row r="57">
      <c r="A57" s="4" t="n"/>
      <c r="B57" s="5" t="n"/>
      <c r="C57" s="8" t="inlineStr">
        <is>
          <t>GSTR-2B availed)</t>
        </is>
      </c>
      <c r="D57" s="1197" t="n"/>
      <c r="E57" s="1197" t="n"/>
    </row>
    <row r="58">
      <c r="A58" s="4" t="n"/>
      <c r="B58" s="5" t="n"/>
      <c r="C58" s="8" t="n"/>
      <c r="D58" s="1197" t="n"/>
      <c r="E58" s="1197" t="n"/>
    </row>
    <row r="59">
      <c r="A59" s="4" t="n">
        <v>8</v>
      </c>
      <c r="B59" s="240">
        <f>B50</f>
        <v/>
      </c>
      <c r="C59" s="75" t="inlineStr">
        <is>
          <t>Provisional  CGST Receivable A/c</t>
        </is>
      </c>
      <c r="D59" s="1402">
        <f>+E70</f>
        <v/>
      </c>
      <c r="E59" s="1402" t="n">
        <v>0</v>
      </c>
    </row>
    <row r="60">
      <c r="A60" s="4" t="n"/>
      <c r="B60" s="5" t="n"/>
      <c r="C60" s="75" t="inlineStr">
        <is>
          <t>Provisional  SGST Receivable A/c</t>
        </is>
      </c>
      <c r="D60" s="1402">
        <f>+D59</f>
        <v/>
      </c>
      <c r="E60" s="1402" t="n"/>
    </row>
    <row r="61">
      <c r="A61" s="4" t="n"/>
      <c r="B61" s="5" t="n"/>
      <c r="C61" s="74" t="inlineStr">
        <is>
          <t xml:space="preserve">                 To CGST Receivable         A/c                              </t>
        </is>
      </c>
      <c r="D61" s="1402" t="n"/>
      <c r="E61" s="1402">
        <f>D59</f>
        <v/>
      </c>
    </row>
    <row r="62">
      <c r="A62" s="4" t="n"/>
      <c r="B62" s="5" t="n"/>
      <c r="C62" s="74" t="inlineStr">
        <is>
          <t xml:space="preserve">                 To SGST Receivable         A/c                              </t>
        </is>
      </c>
      <c r="D62" s="1402" t="n"/>
      <c r="E62" s="1402">
        <f>D60</f>
        <v/>
      </c>
    </row>
    <row r="63">
      <c r="A63" s="4" t="n"/>
      <c r="B63" s="5" t="n"/>
      <c r="C63" s="8" t="inlineStr">
        <is>
          <t xml:space="preserve">(Being Invoices which are not reflacted in GSTR-2B, transffered </t>
        </is>
      </c>
      <c r="D63" s="1197" t="n"/>
      <c r="E63" s="1197" t="n"/>
    </row>
    <row r="64">
      <c r="A64" s="4" t="n"/>
      <c r="B64" s="5" t="n"/>
      <c r="C64" s="8" t="inlineStr">
        <is>
          <t>to Provisional A/c.(HET Enterprise)</t>
        </is>
      </c>
      <c r="D64" s="1197" t="n"/>
      <c r="E64" s="1197" t="n"/>
    </row>
    <row r="65">
      <c r="A65" s="234" t="n"/>
      <c r="B65" s="241" t="n"/>
      <c r="C65" s="235" t="n"/>
      <c r="D65" s="1403" t="n"/>
      <c r="E65" s="1403" t="n"/>
    </row>
    <row r="67">
      <c r="A67" t="inlineStr">
        <is>
          <t>Ref.1</t>
        </is>
      </c>
    </row>
    <row r="68">
      <c r="B68" s="242" t="inlineStr">
        <is>
          <t>DATE</t>
        </is>
      </c>
      <c r="C68" s="137" t="inlineStr">
        <is>
          <t>PARTICULARS</t>
        </is>
      </c>
      <c r="D68" s="137" t="inlineStr">
        <is>
          <t>VOUCHER NO.</t>
        </is>
      </c>
      <c r="E68" s="137" t="inlineStr">
        <is>
          <t>CGST/SGST AMOUNT</t>
        </is>
      </c>
    </row>
    <row r="69">
      <c r="B69" s="245" t="n"/>
      <c r="C69" s="257" t="n"/>
      <c r="D69" s="263" t="n"/>
      <c r="E69" s="1115" t="n"/>
    </row>
    <row r="70">
      <c r="B70" s="242" t="n"/>
      <c r="C70" s="137" t="n"/>
      <c r="D70" s="137" t="n"/>
      <c r="E70" s="1404">
        <f>SUM(E69:E69)</f>
        <v/>
      </c>
    </row>
  </sheetData>
  <mergeCells count="5">
    <mergeCell ref="A5:A6"/>
    <mergeCell ref="A2:E2"/>
    <mergeCell ref="A3:E3"/>
    <mergeCell ref="B5:B6"/>
    <mergeCell ref="C5:C6"/>
  </mergeCells>
  <pageMargins left="0.7086614173228347" right="0.7086614173228347" top="0.7480314960629921" bottom="0.7480314960629921" header="0.3149606299212598" footer="0.3149606299212598"/>
  <pageSetup orientation="portrait" paperSize="9" scale="65" verticalDpi="1200"/>
</worksheet>
</file>

<file path=xl/worksheets/sheet16.xml><?xml version="1.0" encoding="utf-8"?>
<worksheet xmlns="http://schemas.openxmlformats.org/spreadsheetml/2006/main">
  <sheetPr codeName="Sheet14" filterMode="1">
    <outlinePr summaryBelow="1" summaryRight="1"/>
    <pageSetUpPr/>
  </sheetPr>
  <dimension ref="A1:F80"/>
  <sheetViews>
    <sheetView workbookViewId="0">
      <selection activeCell="E22" sqref="E22:E70"/>
    </sheetView>
  </sheetViews>
  <sheetFormatPr baseColWidth="8" defaultColWidth="9.140625" defaultRowHeight="15"/>
  <cols>
    <col width="10.140625" bestFit="1" customWidth="1" style="143" min="1" max="1"/>
    <col width="31.140625" bestFit="1" customWidth="1" style="143" min="2" max="2"/>
    <col width="8.85546875" bestFit="1" customWidth="1" style="143" min="3" max="3"/>
    <col width="14.5703125" bestFit="1" customWidth="1" style="143" min="4" max="4"/>
    <col width="10.5703125" bestFit="1" customWidth="1" style="143" min="5" max="5"/>
    <col width="20.85546875" bestFit="1" customWidth="1" style="143" min="6" max="6"/>
    <col width="9.140625" customWidth="1" style="143" min="7" max="16384"/>
  </cols>
  <sheetData>
    <row r="1" ht="15.75" customHeight="1">
      <c r="A1" s="944" t="inlineStr">
        <is>
          <t>SUN REALTY</t>
        </is>
      </c>
      <c r="C1" s="142" t="n"/>
      <c r="D1" s="142" t="n"/>
      <c r="E1" s="142" t="n"/>
      <c r="F1" s="142" t="n"/>
    </row>
    <row r="2" ht="15.75" customHeight="1">
      <c r="A2" s="944" t="inlineStr">
        <is>
          <t>CGST Receivable</t>
        </is>
      </c>
      <c r="C2" s="142" t="n"/>
      <c r="D2" s="142" t="n"/>
      <c r="E2" s="142" t="n"/>
      <c r="F2" s="142" t="n"/>
    </row>
    <row r="3">
      <c r="A3" s="943" t="inlineStr">
        <is>
          <t>Ledger Account</t>
        </is>
      </c>
      <c r="C3" s="142" t="n"/>
      <c r="D3" s="142" t="n"/>
      <c r="E3" s="142" t="n"/>
      <c r="F3" s="142" t="n"/>
    </row>
    <row r="4">
      <c r="A4" s="943" t="inlineStr"/>
      <c r="C4" s="142" t="n"/>
      <c r="D4" s="142" t="n"/>
      <c r="E4" s="142" t="n"/>
      <c r="F4" s="142" t="n"/>
    </row>
    <row r="5">
      <c r="A5" s="943" t="inlineStr"/>
      <c r="C5" s="142" t="n"/>
      <c r="D5" s="142" t="n"/>
      <c r="E5" s="142" t="n"/>
      <c r="F5" s="142" t="n"/>
    </row>
    <row r="6">
      <c r="A6" s="943" t="inlineStr">
        <is>
          <t>1-Jul-2022 to 31-Jul-2022</t>
        </is>
      </c>
      <c r="C6" s="142" t="n"/>
      <c r="D6" s="142" t="n"/>
      <c r="E6" s="142" t="n"/>
      <c r="F6" s="142" t="n"/>
    </row>
    <row r="7">
      <c r="A7" s="144" t="inlineStr">
        <is>
          <t>Date</t>
        </is>
      </c>
      <c r="B7" s="145" t="n"/>
      <c r="C7" s="146" t="inlineStr">
        <is>
          <t>Vch Type</t>
        </is>
      </c>
      <c r="D7" s="144" t="inlineStr">
        <is>
          <t>Vch No.</t>
        </is>
      </c>
      <c r="E7" s="147" t="inlineStr">
        <is>
          <t>Debit</t>
        </is>
      </c>
      <c r="F7" s="147" t="inlineStr">
        <is>
          <t>Credit</t>
        </is>
      </c>
    </row>
    <row r="8" hidden="1">
      <c r="A8" s="1405" t="n">
        <v>44749</v>
      </c>
      <c r="B8" s="149" t="inlineStr">
        <is>
          <t>Aasha Entrerprise</t>
        </is>
      </c>
      <c r="C8" s="150" t="inlineStr">
        <is>
          <t>Purchase</t>
        </is>
      </c>
      <c r="D8" s="151" t="inlineStr">
        <is>
          <t>384</t>
        </is>
      </c>
      <c r="E8" s="1406" t="n">
        <v>14345</v>
      </c>
      <c r="F8" s="1407" t="n"/>
    </row>
    <row r="9" hidden="1">
      <c r="A9" s="1405" t="n">
        <v>44753</v>
      </c>
      <c r="B9" s="149" t="inlineStr">
        <is>
          <t>Aasha Entrerprise</t>
        </is>
      </c>
      <c r="C9" s="150" t="inlineStr">
        <is>
          <t>Purchase</t>
        </is>
      </c>
      <c r="D9" s="151" t="inlineStr">
        <is>
          <t>399</t>
        </is>
      </c>
      <c r="E9" s="1406" t="n">
        <v>1623</v>
      </c>
      <c r="F9" s="1407" t="n"/>
    </row>
    <row r="10" hidden="1">
      <c r="A10" s="1405" t="n">
        <v>44755</v>
      </c>
      <c r="B10" s="149" t="inlineStr">
        <is>
          <t>Aasha Entrerprise</t>
        </is>
      </c>
      <c r="C10" s="150" t="inlineStr">
        <is>
          <t>Purchase</t>
        </is>
      </c>
      <c r="D10" s="151" t="inlineStr">
        <is>
          <t>415</t>
        </is>
      </c>
      <c r="E10" s="1406" t="n">
        <v>3867</v>
      </c>
      <c r="F10" s="1407" t="n"/>
    </row>
    <row r="11" hidden="1">
      <c r="A11" s="1405" t="n">
        <v>44749</v>
      </c>
      <c r="B11" s="149" t="inlineStr">
        <is>
          <t>Bhumi Corporation</t>
        </is>
      </c>
      <c r="C11" s="150" t="inlineStr">
        <is>
          <t>Purchase</t>
        </is>
      </c>
      <c r="D11" s="151" t="inlineStr">
        <is>
          <t>2509/2022-23</t>
        </is>
      </c>
      <c r="E11" s="1406" t="n">
        <v>13651</v>
      </c>
      <c r="F11" s="1407" t="n"/>
    </row>
    <row r="12" hidden="1">
      <c r="A12" s="1405" t="n">
        <v>44743</v>
      </c>
      <c r="B12" s="149" t="inlineStr">
        <is>
          <t>Blazenet Limited</t>
        </is>
      </c>
      <c r="C12" s="150" t="inlineStr">
        <is>
          <t>Journal</t>
        </is>
      </c>
      <c r="D12" s="151" t="inlineStr">
        <is>
          <t>220</t>
        </is>
      </c>
      <c r="E12" s="1406" t="n">
        <v>844</v>
      </c>
      <c r="F12" s="1407" t="n"/>
    </row>
    <row r="13" hidden="1">
      <c r="A13" s="1405" t="n">
        <v>44771</v>
      </c>
      <c r="B13" s="149" t="inlineStr">
        <is>
          <t>Compu Brain</t>
        </is>
      </c>
      <c r="C13" s="150" t="inlineStr">
        <is>
          <t>Journal</t>
        </is>
      </c>
      <c r="D13" s="151" t="inlineStr">
        <is>
          <t>382</t>
        </is>
      </c>
      <c r="E13" s="1406" t="n">
        <v>423</v>
      </c>
      <c r="F13" s="1407" t="n"/>
    </row>
    <row r="14" hidden="1">
      <c r="A14" s="1405" t="n">
        <v>44771</v>
      </c>
      <c r="B14" s="149" t="inlineStr">
        <is>
          <t>Compu Brain</t>
        </is>
      </c>
      <c r="C14" s="150" t="inlineStr">
        <is>
          <t>Journal</t>
        </is>
      </c>
      <c r="D14" s="151" t="inlineStr">
        <is>
          <t>383</t>
        </is>
      </c>
      <c r="E14" s="1406" t="n">
        <v>423</v>
      </c>
      <c r="F14" s="1407" t="n"/>
    </row>
    <row r="15" hidden="1">
      <c r="A15" s="1405" t="n">
        <v>44771</v>
      </c>
      <c r="B15" s="149" t="inlineStr">
        <is>
          <t>Compu Brain</t>
        </is>
      </c>
      <c r="C15" s="150" t="inlineStr">
        <is>
          <t>Journal</t>
        </is>
      </c>
      <c r="D15" s="151" t="inlineStr">
        <is>
          <t>384</t>
        </is>
      </c>
      <c r="E15" s="1406" t="n">
        <v>2200</v>
      </c>
      <c r="F15" s="1407" t="n"/>
    </row>
    <row r="16" hidden="1">
      <c r="A16" s="1405" t="n">
        <v>44771</v>
      </c>
      <c r="B16" s="149" t="inlineStr">
        <is>
          <t>Compu Brain</t>
        </is>
      </c>
      <c r="C16" s="150" t="inlineStr">
        <is>
          <t>Journal</t>
        </is>
      </c>
      <c r="D16" s="151" t="inlineStr">
        <is>
          <t>385</t>
        </is>
      </c>
      <c r="E16" s="1406" t="n">
        <v>2429</v>
      </c>
      <c r="F16" s="1407" t="n"/>
    </row>
    <row r="17" hidden="1">
      <c r="A17" s="1405" t="n">
        <v>44771</v>
      </c>
      <c r="B17" s="149" t="inlineStr">
        <is>
          <t>Compu Brain</t>
        </is>
      </c>
      <c r="C17" s="150" t="inlineStr">
        <is>
          <t>Journal</t>
        </is>
      </c>
      <c r="D17" s="151" t="inlineStr">
        <is>
          <t>386</t>
        </is>
      </c>
      <c r="E17" s="1406" t="n">
        <v>2053</v>
      </c>
      <c r="F17" s="1407" t="n"/>
    </row>
    <row r="18" hidden="1">
      <c r="A18" s="1405" t="n">
        <v>44743</v>
      </c>
      <c r="B18" s="149" t="inlineStr">
        <is>
          <t>Cosmos Manpower Pvt Ltd</t>
        </is>
      </c>
      <c r="C18" s="150" t="inlineStr">
        <is>
          <t>Journal</t>
        </is>
      </c>
      <c r="D18" s="151" t="inlineStr">
        <is>
          <t>221</t>
        </is>
      </c>
      <c r="E18" s="1406" t="n">
        <v>2970</v>
      </c>
      <c r="F18" s="1407" t="n"/>
    </row>
    <row r="19" hidden="1">
      <c r="A19" s="1405" t="n">
        <v>44748</v>
      </c>
      <c r="B19" s="149" t="inlineStr">
        <is>
          <t>Delta Enterprise</t>
        </is>
      </c>
      <c r="C19" s="150" t="inlineStr">
        <is>
          <t>Purchase</t>
        </is>
      </c>
      <c r="D19" s="151" t="inlineStr">
        <is>
          <t>DE/41/22-23</t>
        </is>
      </c>
      <c r="E19" s="1406" t="n">
        <v>13275</v>
      </c>
      <c r="F19" s="1407" t="n"/>
    </row>
    <row r="20" hidden="1" customFormat="1" s="207">
      <c r="A20" s="1408" t="n">
        <v>44743</v>
      </c>
      <c r="B20" s="203" t="inlineStr">
        <is>
          <t>Dhruv Enterprise</t>
        </is>
      </c>
      <c r="C20" s="204" t="inlineStr">
        <is>
          <t>Journal</t>
        </is>
      </c>
      <c r="D20" s="205" t="inlineStr">
        <is>
          <t>227</t>
        </is>
      </c>
      <c r="E20" s="1406" t="n">
        <v>4298</v>
      </c>
      <c r="F20" s="1409" t="inlineStr">
        <is>
          <t>common credit</t>
        </is>
      </c>
    </row>
    <row r="21" hidden="1">
      <c r="A21" s="1405" t="n">
        <v>44754</v>
      </c>
      <c r="B21" s="149" t="inlineStr">
        <is>
          <t>Drishti Electricals</t>
        </is>
      </c>
      <c r="C21" s="150" t="inlineStr">
        <is>
          <t>Purchase</t>
        </is>
      </c>
      <c r="D21" s="151" t="inlineStr">
        <is>
          <t>GST/1315/22-23</t>
        </is>
      </c>
      <c r="E21" s="1406" t="n">
        <v>12238</v>
      </c>
      <c r="F21" s="1407" t="n"/>
    </row>
    <row r="22">
      <c r="A22" s="1405" t="n">
        <v>44767</v>
      </c>
      <c r="B22" s="149" t="inlineStr">
        <is>
          <t>Drishti Electricals</t>
        </is>
      </c>
      <c r="C22" s="150" t="inlineStr">
        <is>
          <t>Purchase</t>
        </is>
      </c>
      <c r="D22" s="151" t="inlineStr">
        <is>
          <t>GST/1467/22-23</t>
        </is>
      </c>
      <c r="E22" s="1410" t="n">
        <v>669</v>
      </c>
      <c r="F22" s="1411" t="inlineStr">
        <is>
          <t>TRANS TO PROV REC</t>
        </is>
      </c>
    </row>
    <row r="23" hidden="1">
      <c r="A23" s="1405" t="n">
        <v>44770</v>
      </c>
      <c r="B23" s="149" t="inlineStr">
        <is>
          <t>Drishti Electricals</t>
        </is>
      </c>
      <c r="C23" s="150" t="inlineStr">
        <is>
          <t>Purchase</t>
        </is>
      </c>
      <c r="D23" s="151" t="inlineStr">
        <is>
          <t>GST/1522/22-23</t>
        </is>
      </c>
      <c r="E23" s="1406" t="n">
        <v>450</v>
      </c>
      <c r="F23" s="1407" t="n"/>
    </row>
    <row r="24" hidden="1">
      <c r="A24" s="1405" t="n">
        <v>44748</v>
      </c>
      <c r="B24" s="149" t="inlineStr">
        <is>
          <t>Future Sales Private Limited</t>
        </is>
      </c>
      <c r="C24" s="150" t="inlineStr">
        <is>
          <t>Purchase</t>
        </is>
      </c>
      <c r="D24" s="151" t="inlineStr">
        <is>
          <t>2541/ 22-23</t>
        </is>
      </c>
      <c r="E24" s="1406" t="n">
        <v>1022</v>
      </c>
      <c r="F24" s="1407" t="n"/>
    </row>
    <row r="25" hidden="1">
      <c r="A25" s="1405" t="n">
        <v>44751</v>
      </c>
      <c r="B25" s="149" t="inlineStr">
        <is>
          <t>Future Sales Private Limited</t>
        </is>
      </c>
      <c r="C25" s="150" t="inlineStr">
        <is>
          <t>Purchase</t>
        </is>
      </c>
      <c r="D25" s="151" t="inlineStr">
        <is>
          <t>2627/ 22-23</t>
        </is>
      </c>
      <c r="E25" s="1406" t="n">
        <v>1238</v>
      </c>
      <c r="F25" s="1407" t="n"/>
    </row>
    <row r="26" hidden="1">
      <c r="A26" s="1405" t="n">
        <v>44762</v>
      </c>
      <c r="B26" s="149" t="inlineStr">
        <is>
          <t>Future Sales Private Limited</t>
        </is>
      </c>
      <c r="C26" s="150" t="inlineStr">
        <is>
          <t>Purchase</t>
        </is>
      </c>
      <c r="D26" s="151" t="inlineStr">
        <is>
          <t>2838/ 22-23</t>
        </is>
      </c>
      <c r="E26" s="1406" t="n">
        <v>1991</v>
      </c>
      <c r="F26" s="1407" t="n"/>
    </row>
    <row r="27" hidden="1">
      <c r="A27" s="1405" t="n">
        <v>44747</v>
      </c>
      <c r="B27" s="149" t="inlineStr">
        <is>
          <t>Future Solutions  - New Office</t>
        </is>
      </c>
      <c r="C27" s="150" t="inlineStr">
        <is>
          <t>Journal</t>
        </is>
      </c>
      <c r="D27" s="151" t="inlineStr">
        <is>
          <t>232</t>
        </is>
      </c>
      <c r="E27" s="1406" t="n">
        <v>6737</v>
      </c>
      <c r="F27" s="1407" t="n"/>
    </row>
    <row r="28" hidden="1">
      <c r="A28" s="1405" t="n">
        <v>44747</v>
      </c>
      <c r="B28" s="149" t="inlineStr">
        <is>
          <t>Future Solutions  - New Office</t>
        </is>
      </c>
      <c r="C28" s="150" t="inlineStr">
        <is>
          <t>Journal</t>
        </is>
      </c>
      <c r="D28" s="151" t="inlineStr">
        <is>
          <t>233</t>
        </is>
      </c>
      <c r="E28" s="1406" t="n">
        <v>28326</v>
      </c>
      <c r="F28" s="1407" t="n"/>
    </row>
    <row r="29" hidden="1">
      <c r="A29" s="1405" t="n">
        <v>44743</v>
      </c>
      <c r="B29" s="149" t="inlineStr">
        <is>
          <t>Gayatri Sales Corporation</t>
        </is>
      </c>
      <c r="C29" s="150" t="inlineStr">
        <is>
          <t>Purchase</t>
        </is>
      </c>
      <c r="D29" s="151" t="inlineStr">
        <is>
          <t>T/ 507</t>
        </is>
      </c>
      <c r="E29" s="1406" t="n">
        <v>114</v>
      </c>
      <c r="F29" s="1407" t="n"/>
    </row>
    <row r="30" hidden="1">
      <c r="A30" s="1405" t="n">
        <v>44745</v>
      </c>
      <c r="B30" s="149" t="inlineStr">
        <is>
          <t>Gayatri Sales Corporation</t>
        </is>
      </c>
      <c r="C30" s="150" t="inlineStr">
        <is>
          <t>Purchase</t>
        </is>
      </c>
      <c r="D30" s="151" t="inlineStr">
        <is>
          <t>T/ 523</t>
        </is>
      </c>
      <c r="E30" s="1406" t="n">
        <v>4415</v>
      </c>
      <c r="F30" s="1407" t="n"/>
    </row>
    <row r="31" hidden="1">
      <c r="A31" s="1405" t="n">
        <v>44747</v>
      </c>
      <c r="B31" s="149" t="inlineStr">
        <is>
          <t>Gayatri Sales Corporation</t>
        </is>
      </c>
      <c r="C31" s="150" t="inlineStr">
        <is>
          <t>Purchase</t>
        </is>
      </c>
      <c r="D31" s="151" t="inlineStr">
        <is>
          <t>T/ 531</t>
        </is>
      </c>
      <c r="E31" s="1406" t="n">
        <v>953</v>
      </c>
      <c r="F31" s="1407" t="n"/>
    </row>
    <row r="32" hidden="1">
      <c r="A32" s="1405" t="n">
        <v>44747</v>
      </c>
      <c r="B32" s="149" t="inlineStr">
        <is>
          <t>Gayatri Sales Corporation</t>
        </is>
      </c>
      <c r="C32" s="150" t="inlineStr">
        <is>
          <t>Purchase</t>
        </is>
      </c>
      <c r="D32" s="151" t="inlineStr">
        <is>
          <t>T/ 535</t>
        </is>
      </c>
      <c r="E32" s="1406" t="n">
        <v>3177</v>
      </c>
      <c r="F32" s="1407" t="n"/>
    </row>
    <row r="33" hidden="1">
      <c r="A33" s="1405" t="n">
        <v>44747</v>
      </c>
      <c r="B33" s="149" t="inlineStr">
        <is>
          <t>Gayatri Sales Corporation</t>
        </is>
      </c>
      <c r="C33" s="150" t="inlineStr">
        <is>
          <t>Purchase</t>
        </is>
      </c>
      <c r="D33" s="151" t="inlineStr">
        <is>
          <t>T/ 536</t>
        </is>
      </c>
      <c r="E33" s="1406" t="n">
        <v>293</v>
      </c>
      <c r="F33" s="1407" t="n"/>
    </row>
    <row r="34" hidden="1">
      <c r="A34" s="1405" t="n">
        <v>44747</v>
      </c>
      <c r="B34" s="149" t="inlineStr">
        <is>
          <t>Gayatri Sales Corporation</t>
        </is>
      </c>
      <c r="C34" s="150" t="inlineStr">
        <is>
          <t>Purchase</t>
        </is>
      </c>
      <c r="D34" s="151" t="inlineStr">
        <is>
          <t>T/ 537</t>
        </is>
      </c>
      <c r="E34" s="1406" t="n">
        <v>2126</v>
      </c>
      <c r="F34" s="1407" t="n"/>
    </row>
    <row r="35" hidden="1">
      <c r="A35" s="1405" t="n">
        <v>44751</v>
      </c>
      <c r="B35" s="149" t="inlineStr">
        <is>
          <t>Gayatri Sales Corporation</t>
        </is>
      </c>
      <c r="C35" s="150" t="inlineStr">
        <is>
          <t>Purchase</t>
        </is>
      </c>
      <c r="D35" s="151" t="inlineStr">
        <is>
          <t>T/ 557</t>
        </is>
      </c>
      <c r="E35" s="1406" t="n">
        <v>2982</v>
      </c>
      <c r="F35" s="1407" t="n"/>
    </row>
    <row r="36" hidden="1">
      <c r="A36" s="1405" t="n">
        <v>44751</v>
      </c>
      <c r="B36" s="149" t="inlineStr">
        <is>
          <t>Gayatri Sales Corporation</t>
        </is>
      </c>
      <c r="C36" s="150" t="inlineStr">
        <is>
          <t>Purchase</t>
        </is>
      </c>
      <c r="D36" s="151" t="inlineStr">
        <is>
          <t>T/ 558</t>
        </is>
      </c>
      <c r="E36" s="1406" t="n">
        <v>533</v>
      </c>
      <c r="F36" s="1407" t="n"/>
    </row>
    <row r="37" hidden="1">
      <c r="A37" s="1405" t="n">
        <v>44755</v>
      </c>
      <c r="B37" s="149" t="inlineStr">
        <is>
          <t>Gayatri Sales Corporation</t>
        </is>
      </c>
      <c r="C37" s="150" t="inlineStr">
        <is>
          <t>Purchase</t>
        </is>
      </c>
      <c r="D37" s="151" t="inlineStr">
        <is>
          <t>T/ 572</t>
        </is>
      </c>
      <c r="E37" s="1406" t="n">
        <v>2957</v>
      </c>
      <c r="F37" s="1407" t="n"/>
    </row>
    <row r="38" hidden="1">
      <c r="A38" s="1405" t="n">
        <v>44755</v>
      </c>
      <c r="B38" s="149" t="inlineStr">
        <is>
          <t>Gayatri Sales Corporation</t>
        </is>
      </c>
      <c r="C38" s="150" t="inlineStr">
        <is>
          <t>Purchase</t>
        </is>
      </c>
      <c r="D38" s="151" t="inlineStr">
        <is>
          <t>T/ 573</t>
        </is>
      </c>
      <c r="E38" s="1406" t="n">
        <v>3637</v>
      </c>
      <c r="F38" s="1407" t="n"/>
    </row>
    <row r="39" hidden="1">
      <c r="A39" s="1405" t="n">
        <v>44755</v>
      </c>
      <c r="B39" s="149" t="inlineStr">
        <is>
          <t>Gayatri Sales Corporation</t>
        </is>
      </c>
      <c r="C39" s="150" t="inlineStr">
        <is>
          <t>Purchase</t>
        </is>
      </c>
      <c r="D39" s="151" t="inlineStr">
        <is>
          <t>T/ 574</t>
        </is>
      </c>
      <c r="E39" s="1406" t="n">
        <v>76</v>
      </c>
      <c r="F39" s="1407" t="n"/>
    </row>
    <row r="40" hidden="1">
      <c r="A40" s="1405" t="n">
        <v>44757</v>
      </c>
      <c r="B40" s="149" t="inlineStr">
        <is>
          <t>Gayatri Sales Corporation</t>
        </is>
      </c>
      <c r="C40" s="150" t="inlineStr">
        <is>
          <t>Purchase</t>
        </is>
      </c>
      <c r="D40" s="151" t="inlineStr">
        <is>
          <t>T/ 585</t>
        </is>
      </c>
      <c r="E40" s="1406" t="n">
        <v>2220</v>
      </c>
      <c r="F40" s="1407" t="n"/>
    </row>
    <row r="41" hidden="1">
      <c r="A41" s="1405" t="n">
        <v>44761</v>
      </c>
      <c r="B41" s="149" t="inlineStr">
        <is>
          <t>Gayatri Sales Corporation</t>
        </is>
      </c>
      <c r="C41" s="150" t="inlineStr">
        <is>
          <t>Purchase</t>
        </is>
      </c>
      <c r="D41" s="151" t="inlineStr">
        <is>
          <t>T/ 594</t>
        </is>
      </c>
      <c r="E41" s="1406" t="n">
        <v>1601</v>
      </c>
      <c r="F41" s="1407" t="n"/>
    </row>
    <row r="42" hidden="1">
      <c r="A42" s="1405" t="n">
        <v>44763</v>
      </c>
      <c r="B42" s="149" t="inlineStr">
        <is>
          <t>Gayatri Sales Corporation</t>
        </is>
      </c>
      <c r="C42" s="150" t="inlineStr">
        <is>
          <t>Purchase</t>
        </is>
      </c>
      <c r="D42" s="151" t="inlineStr">
        <is>
          <t>T/ 604</t>
        </is>
      </c>
      <c r="E42" s="1406" t="n">
        <v>2607</v>
      </c>
      <c r="F42" s="1407" t="n"/>
    </row>
    <row r="43" hidden="1">
      <c r="A43" s="1405" t="n">
        <v>44767</v>
      </c>
      <c r="B43" s="149" t="inlineStr">
        <is>
          <t>Gayatri Sales Corporation</t>
        </is>
      </c>
      <c r="C43" s="150" t="inlineStr">
        <is>
          <t>Purchase</t>
        </is>
      </c>
      <c r="D43" s="151" t="inlineStr">
        <is>
          <t>T/ 618</t>
        </is>
      </c>
      <c r="E43" s="1406" t="n">
        <v>1271</v>
      </c>
      <c r="F43" s="1407" t="n"/>
    </row>
    <row r="44" hidden="1">
      <c r="A44" s="1405" t="n">
        <v>44770</v>
      </c>
      <c r="B44" s="149" t="inlineStr">
        <is>
          <t>Gayatri Sales Corporation</t>
        </is>
      </c>
      <c r="C44" s="150" t="inlineStr">
        <is>
          <t>Purchase</t>
        </is>
      </c>
      <c r="D44" s="151" t="inlineStr">
        <is>
          <t>T/ 635</t>
        </is>
      </c>
      <c r="E44" s="1406" t="n">
        <v>4904</v>
      </c>
      <c r="F44" s="1407" t="n"/>
    </row>
    <row r="45" hidden="1">
      <c r="A45" s="1405" t="n">
        <v>44771</v>
      </c>
      <c r="B45" s="149" t="inlineStr">
        <is>
          <t>Gayatri Sales Corporation</t>
        </is>
      </c>
      <c r="C45" s="150" t="inlineStr">
        <is>
          <t>Purchase</t>
        </is>
      </c>
      <c r="D45" s="151" t="inlineStr">
        <is>
          <t>T/ 638</t>
        </is>
      </c>
      <c r="E45" s="1406" t="n">
        <v>5095</v>
      </c>
      <c r="F45" s="1407" t="n"/>
    </row>
    <row r="46" hidden="1">
      <c r="A46" s="1405" t="n">
        <v>44767</v>
      </c>
      <c r="B46" s="149" t="inlineStr">
        <is>
          <t>Hare Krushna Concrete Solution</t>
        </is>
      </c>
      <c r="C46" s="150" t="inlineStr">
        <is>
          <t>Purchase</t>
        </is>
      </c>
      <c r="D46" s="151" t="inlineStr">
        <is>
          <t>HKL/2223/ 1209</t>
        </is>
      </c>
      <c r="E46" s="1406" t="n">
        <v>866</v>
      </c>
      <c r="F46" s="1407" t="n"/>
    </row>
    <row r="47" hidden="1">
      <c r="A47" s="1405" t="n">
        <v>44743</v>
      </c>
      <c r="B47" s="208" t="inlineStr">
        <is>
          <t>Harshadkumar Govindbhai Patel</t>
        </is>
      </c>
      <c r="C47" s="150" t="inlineStr">
        <is>
          <t>Journal</t>
        </is>
      </c>
      <c r="D47" s="151" t="inlineStr">
        <is>
          <t>210</t>
        </is>
      </c>
      <c r="E47" s="1410" t="n">
        <v>7814</v>
      </c>
      <c r="F47" s="1411" t="inlineStr">
        <is>
          <t>Office Rent</t>
        </is>
      </c>
    </row>
    <row r="48" hidden="1">
      <c r="A48" s="1405" t="n">
        <v>44743</v>
      </c>
      <c r="B48" s="149" t="inlineStr">
        <is>
          <t>Ido Design Solutions</t>
        </is>
      </c>
      <c r="C48" s="150" t="inlineStr">
        <is>
          <t>Journal</t>
        </is>
      </c>
      <c r="D48" s="151" t="inlineStr">
        <is>
          <t>218</t>
        </is>
      </c>
      <c r="E48" s="1406" t="n">
        <v>7200</v>
      </c>
      <c r="F48" s="1407" t="n"/>
    </row>
    <row r="49">
      <c r="A49" s="1405" t="n">
        <v>44743</v>
      </c>
      <c r="B49" s="149" t="inlineStr">
        <is>
          <t>Infinity Business Solutions</t>
        </is>
      </c>
      <c r="C49" s="150" t="inlineStr">
        <is>
          <t>Journal</t>
        </is>
      </c>
      <c r="D49" s="151" t="inlineStr">
        <is>
          <t>229</t>
        </is>
      </c>
      <c r="E49" s="1410" t="n">
        <v>1440</v>
      </c>
      <c r="F49" s="1411" t="inlineStr">
        <is>
          <t>TRANS TO PROV REC</t>
        </is>
      </c>
    </row>
    <row r="50" hidden="1">
      <c r="A50" s="1405" t="n">
        <v>44743</v>
      </c>
      <c r="B50" s="149" t="inlineStr">
        <is>
          <t>Khushboo Xerox</t>
        </is>
      </c>
      <c r="C50" s="150" t="inlineStr">
        <is>
          <t>Journal</t>
        </is>
      </c>
      <c r="D50" s="151" t="inlineStr">
        <is>
          <t>228</t>
        </is>
      </c>
      <c r="E50" s="1406" t="n">
        <v>1660</v>
      </c>
      <c r="F50" s="1407" t="n"/>
    </row>
    <row r="51">
      <c r="A51" s="1405" t="n">
        <v>44755</v>
      </c>
      <c r="B51" s="149" t="inlineStr">
        <is>
          <t>Khushboo Xerox</t>
        </is>
      </c>
      <c r="C51" s="150" t="inlineStr">
        <is>
          <t>Journal</t>
        </is>
      </c>
      <c r="D51" s="151" t="inlineStr">
        <is>
          <t>275</t>
        </is>
      </c>
      <c r="E51" s="1410" t="n">
        <v>4500</v>
      </c>
      <c r="F51" s="1411" t="inlineStr">
        <is>
          <t>TRANS TO PROV REC</t>
        </is>
      </c>
    </row>
    <row r="52" hidden="1">
      <c r="A52" s="1405" t="n">
        <v>44751</v>
      </c>
      <c r="B52" s="149" t="inlineStr">
        <is>
          <t>M.R. Hardware</t>
        </is>
      </c>
      <c r="C52" s="150" t="inlineStr">
        <is>
          <t>Purchase</t>
        </is>
      </c>
      <c r="D52" s="151" t="inlineStr">
        <is>
          <t>MR/22-23/0039</t>
        </is>
      </c>
      <c r="E52" s="1406" t="n">
        <v>149</v>
      </c>
      <c r="F52" s="1407" t="n"/>
    </row>
    <row r="53" hidden="1">
      <c r="A53" s="1405" t="n">
        <v>44764</v>
      </c>
      <c r="B53" s="149" t="inlineStr">
        <is>
          <t>M.R. Hardware</t>
        </is>
      </c>
      <c r="C53" s="150" t="inlineStr">
        <is>
          <t>Purchase</t>
        </is>
      </c>
      <c r="D53" s="151" t="inlineStr">
        <is>
          <t>MR/22-23/0044</t>
        </is>
      </c>
      <c r="E53" s="1406" t="n">
        <v>901</v>
      </c>
      <c r="F53" s="1407" t="n"/>
    </row>
    <row r="54" hidden="1">
      <c r="A54" s="1405" t="n">
        <v>44743</v>
      </c>
      <c r="B54" s="149" t="inlineStr">
        <is>
          <t>Naimish N. Shah &amp; Co. - Bills</t>
        </is>
      </c>
      <c r="C54" s="150" t="inlineStr">
        <is>
          <t>Journal</t>
        </is>
      </c>
      <c r="D54" s="151" t="inlineStr">
        <is>
          <t>223</t>
        </is>
      </c>
      <c r="E54" s="1406" t="n">
        <v>1350</v>
      </c>
      <c r="F54" s="1407" t="n"/>
    </row>
    <row r="55">
      <c r="A55" s="1405" t="n">
        <v>44744</v>
      </c>
      <c r="B55" s="149" t="inlineStr">
        <is>
          <t>Nice Ceramics</t>
        </is>
      </c>
      <c r="C55" s="150" t="inlineStr">
        <is>
          <t>Purchase</t>
        </is>
      </c>
      <c r="D55" s="151" t="inlineStr">
        <is>
          <t>462</t>
        </is>
      </c>
      <c r="E55" s="1410" t="n">
        <v>479</v>
      </c>
      <c r="F55" s="1411" t="inlineStr">
        <is>
          <t>TRANS TO PROV REC</t>
        </is>
      </c>
    </row>
    <row r="56">
      <c r="A56" s="1405" t="n">
        <v>44746</v>
      </c>
      <c r="B56" s="149" t="inlineStr">
        <is>
          <t>Nice Ceramics</t>
        </is>
      </c>
      <c r="C56" s="150" t="inlineStr">
        <is>
          <t>Purchase</t>
        </is>
      </c>
      <c r="D56" s="151" t="inlineStr">
        <is>
          <t>469</t>
        </is>
      </c>
      <c r="E56" s="1410" t="n">
        <v>1350</v>
      </c>
      <c r="F56" s="1411" t="inlineStr">
        <is>
          <t>TRANS TO PROV REC</t>
        </is>
      </c>
    </row>
    <row r="57">
      <c r="A57" s="1405" t="n">
        <v>44750</v>
      </c>
      <c r="B57" s="149" t="inlineStr">
        <is>
          <t>Nice Ceramics</t>
        </is>
      </c>
      <c r="C57" s="150" t="inlineStr">
        <is>
          <t>Purchase</t>
        </is>
      </c>
      <c r="D57" s="151" t="inlineStr">
        <is>
          <t>488</t>
        </is>
      </c>
      <c r="E57" s="1410" t="n">
        <v>7208</v>
      </c>
      <c r="F57" s="1411" t="inlineStr">
        <is>
          <t>TRANS TO PROV REC</t>
        </is>
      </c>
    </row>
    <row r="58">
      <c r="A58" s="1405" t="n">
        <v>44756</v>
      </c>
      <c r="B58" s="149" t="inlineStr">
        <is>
          <t>Nice Ceramics</t>
        </is>
      </c>
      <c r="C58" s="150" t="inlineStr">
        <is>
          <t>Purchase</t>
        </is>
      </c>
      <c r="D58" s="151" t="inlineStr">
        <is>
          <t>506</t>
        </is>
      </c>
      <c r="E58" s="1410" t="n">
        <v>5508</v>
      </c>
      <c r="F58" s="1411" t="inlineStr">
        <is>
          <t>TRANS TO PROV REC</t>
        </is>
      </c>
    </row>
    <row r="59">
      <c r="A59" s="1405" t="n">
        <v>44768</v>
      </c>
      <c r="B59" s="149" t="inlineStr">
        <is>
          <t>Nice Ceramics</t>
        </is>
      </c>
      <c r="C59" s="150" t="inlineStr">
        <is>
          <t>Purchase</t>
        </is>
      </c>
      <c r="D59" s="151" t="inlineStr">
        <is>
          <t>561</t>
        </is>
      </c>
      <c r="E59" s="1410" t="n">
        <v>1371</v>
      </c>
      <c r="F59" s="1411" t="inlineStr">
        <is>
          <t>TRANS TO PROV REC</t>
        </is>
      </c>
    </row>
    <row r="60">
      <c r="A60" s="1405" t="n">
        <v>44770</v>
      </c>
      <c r="B60" s="149" t="inlineStr">
        <is>
          <t>Nice Ceramics</t>
        </is>
      </c>
      <c r="C60" s="150" t="inlineStr">
        <is>
          <t>Purchase</t>
        </is>
      </c>
      <c r="D60" s="151" t="inlineStr">
        <is>
          <t>570</t>
        </is>
      </c>
      <c r="E60" s="1410" t="n">
        <v>3608</v>
      </c>
      <c r="F60" s="1411" t="inlineStr">
        <is>
          <t>TRANS TO PROV REC</t>
        </is>
      </c>
    </row>
    <row r="61">
      <c r="A61" s="1405" t="n">
        <v>44771</v>
      </c>
      <c r="B61" s="149" t="inlineStr">
        <is>
          <t>Nice Ceramics</t>
        </is>
      </c>
      <c r="C61" s="150" t="inlineStr">
        <is>
          <t>Purchase</t>
        </is>
      </c>
      <c r="D61" s="151" t="inlineStr">
        <is>
          <t>574</t>
        </is>
      </c>
      <c r="E61" s="1410" t="n">
        <v>45</v>
      </c>
      <c r="F61" s="1411" t="inlineStr">
        <is>
          <t>TRANS TO PROV REC</t>
        </is>
      </c>
    </row>
    <row r="62" hidden="1">
      <c r="A62" s="1405" t="n">
        <v>44743</v>
      </c>
      <c r="B62" s="208" t="inlineStr">
        <is>
          <t>Patel Sanjaykumar G.</t>
        </is>
      </c>
      <c r="C62" s="150" t="inlineStr">
        <is>
          <t>Journal</t>
        </is>
      </c>
      <c r="D62" s="151" t="inlineStr">
        <is>
          <t>212</t>
        </is>
      </c>
      <c r="E62" s="1410" t="n">
        <v>7814</v>
      </c>
      <c r="F62" s="1411" t="inlineStr">
        <is>
          <t>Office Rent</t>
        </is>
      </c>
    </row>
    <row r="63" hidden="1">
      <c r="A63" s="1405" t="n">
        <v>44746</v>
      </c>
      <c r="B63" s="149" t="inlineStr">
        <is>
          <t>Radiant Industries</t>
        </is>
      </c>
      <c r="C63" s="150" t="inlineStr">
        <is>
          <t>Purchase</t>
        </is>
      </c>
      <c r="D63" s="151" t="inlineStr">
        <is>
          <t>GST-0695 /22-23</t>
        </is>
      </c>
      <c r="E63" s="1406" t="n">
        <v>1716</v>
      </c>
      <c r="F63" s="1407" t="n"/>
    </row>
    <row r="64" hidden="1">
      <c r="A64" s="1405" t="n">
        <v>44751</v>
      </c>
      <c r="B64" s="149" t="inlineStr">
        <is>
          <t>Radiant Industries</t>
        </is>
      </c>
      <c r="C64" s="150" t="inlineStr">
        <is>
          <t>Purchase</t>
        </is>
      </c>
      <c r="D64" s="151" t="inlineStr">
        <is>
          <t>GST-0727 /22-23</t>
        </is>
      </c>
      <c r="E64" s="1406" t="n">
        <v>1144</v>
      </c>
      <c r="F64" s="1407" t="n"/>
    </row>
    <row r="65" hidden="1">
      <c r="A65" s="1405" t="n">
        <v>44754</v>
      </c>
      <c r="B65" s="149" t="inlineStr">
        <is>
          <t>Radiant Industries</t>
        </is>
      </c>
      <c r="C65" s="150" t="inlineStr">
        <is>
          <t>Purchase</t>
        </is>
      </c>
      <c r="D65" s="151" t="inlineStr">
        <is>
          <t>GST-0737 /22-23</t>
        </is>
      </c>
      <c r="E65" s="1406" t="n">
        <v>1144</v>
      </c>
      <c r="F65" s="1407" t="n"/>
    </row>
    <row r="66" hidden="1">
      <c r="A66" s="1405" t="n">
        <v>44770</v>
      </c>
      <c r="B66" s="149" t="inlineStr">
        <is>
          <t>Radiant Industries</t>
        </is>
      </c>
      <c r="C66" s="150" t="inlineStr">
        <is>
          <t>Purchase</t>
        </is>
      </c>
      <c r="D66" s="151" t="inlineStr">
        <is>
          <t>GST-0838 /22-23</t>
        </is>
      </c>
      <c r="E66" s="1406" t="n">
        <v>2288</v>
      </c>
      <c r="F66" s="1407" t="n"/>
    </row>
    <row r="67" hidden="1">
      <c r="A67" s="1405" t="n">
        <v>44763</v>
      </c>
      <c r="B67" s="149" t="inlineStr">
        <is>
          <t>Savaria Marble and Granite</t>
        </is>
      </c>
      <c r="C67" s="150" t="inlineStr">
        <is>
          <t>Purchase</t>
        </is>
      </c>
      <c r="D67" s="151" t="inlineStr">
        <is>
          <t>34</t>
        </is>
      </c>
      <c r="E67" s="1406" t="n">
        <v>1540</v>
      </c>
      <c r="F67" s="1407" t="n"/>
    </row>
    <row r="68" hidden="1">
      <c r="A68" s="1405" t="n">
        <v>44770</v>
      </c>
      <c r="B68" s="149" t="inlineStr">
        <is>
          <t>Savaria Marble and Granite</t>
        </is>
      </c>
      <c r="C68" s="150" t="inlineStr">
        <is>
          <t>Purchase</t>
        </is>
      </c>
      <c r="D68" s="151" t="inlineStr">
        <is>
          <t>41</t>
        </is>
      </c>
      <c r="E68" s="1406" t="n">
        <v>1084</v>
      </c>
      <c r="F68" s="1407" t="n"/>
    </row>
    <row r="69">
      <c r="A69" s="1405" t="n">
        <v>44748</v>
      </c>
      <c r="B69" s="149" t="inlineStr">
        <is>
          <t>Shiv Electromac</t>
        </is>
      </c>
      <c r="C69" s="150" t="inlineStr">
        <is>
          <t>Purchase</t>
        </is>
      </c>
      <c r="D69" s="151" t="inlineStr">
        <is>
          <t>043/2022-2023</t>
        </is>
      </c>
      <c r="E69" s="1410" t="n">
        <v>14176</v>
      </c>
      <c r="F69" s="1411" t="inlineStr">
        <is>
          <t>TRANS TO PROV REC</t>
        </is>
      </c>
    </row>
    <row r="70">
      <c r="A70" s="1405" t="n">
        <v>44755</v>
      </c>
      <c r="B70" s="149" t="inlineStr">
        <is>
          <t>Shiv Electromac</t>
        </is>
      </c>
      <c r="C70" s="150" t="inlineStr">
        <is>
          <t>Purchase</t>
        </is>
      </c>
      <c r="D70" s="151" t="inlineStr">
        <is>
          <t>044/2022-2023</t>
        </is>
      </c>
      <c r="E70" s="1410" t="n">
        <v>17040</v>
      </c>
      <c r="F70" s="1411" t="inlineStr">
        <is>
          <t>TRANS TO PROV REC</t>
        </is>
      </c>
    </row>
    <row r="71" hidden="1">
      <c r="A71" s="1405" t="n">
        <v>44746</v>
      </c>
      <c r="B71" s="149" t="inlineStr">
        <is>
          <t>Shree Ram Steel Stores</t>
        </is>
      </c>
      <c r="C71" s="150" t="inlineStr">
        <is>
          <t>Purchase</t>
        </is>
      </c>
      <c r="D71" s="151" t="inlineStr">
        <is>
          <t>0415</t>
        </is>
      </c>
      <c r="E71" s="1406" t="n">
        <v>349</v>
      </c>
      <c r="F71" s="1407" t="n"/>
    </row>
    <row r="72" hidden="1">
      <c r="A72" s="1405" t="n">
        <v>44750</v>
      </c>
      <c r="B72" s="149" t="inlineStr">
        <is>
          <t>Shree Ram Steel Stores</t>
        </is>
      </c>
      <c r="C72" s="150" t="inlineStr">
        <is>
          <t>Purchase</t>
        </is>
      </c>
      <c r="D72" s="151" t="inlineStr">
        <is>
          <t>0436</t>
        </is>
      </c>
      <c r="E72" s="1406" t="n">
        <v>456</v>
      </c>
      <c r="F72" s="1407" t="n"/>
    </row>
    <row r="73" hidden="1">
      <c r="A73" s="1405" t="n">
        <v>44756</v>
      </c>
      <c r="B73" s="149" t="inlineStr">
        <is>
          <t>Shree Ram Steel Stores</t>
        </is>
      </c>
      <c r="C73" s="150" t="inlineStr">
        <is>
          <t>Purchase</t>
        </is>
      </c>
      <c r="D73" s="151" t="inlineStr">
        <is>
          <t>0455</t>
        </is>
      </c>
      <c r="E73" s="1406" t="n">
        <v>2175</v>
      </c>
      <c r="F73" s="1407" t="n"/>
    </row>
    <row r="74" hidden="1">
      <c r="A74" s="1405" t="n">
        <v>44770</v>
      </c>
      <c r="B74" s="149" t="inlineStr">
        <is>
          <t>Shree Ram Steel Stores</t>
        </is>
      </c>
      <c r="C74" s="150" t="inlineStr">
        <is>
          <t>Purchase</t>
        </is>
      </c>
      <c r="D74" s="151" t="inlineStr">
        <is>
          <t>0500</t>
        </is>
      </c>
      <c r="E74" s="1406" t="n">
        <v>4731</v>
      </c>
      <c r="F74" s="1407" t="n"/>
    </row>
    <row r="75" hidden="1">
      <c r="A75" s="1405" t="n">
        <v>44751</v>
      </c>
      <c r="B75" s="149" t="inlineStr">
        <is>
          <t>Surya Agency</t>
        </is>
      </c>
      <c r="C75" s="150" t="inlineStr">
        <is>
          <t>Purchase</t>
        </is>
      </c>
      <c r="D75" s="151" t="inlineStr">
        <is>
          <t>1007</t>
        </is>
      </c>
      <c r="E75" s="1406" t="n">
        <v>332</v>
      </c>
      <c r="F75" s="1407" t="n"/>
    </row>
    <row r="76" hidden="1">
      <c r="A76" s="1405" t="n">
        <v>44752</v>
      </c>
      <c r="B76" s="149" t="inlineStr">
        <is>
          <t>Surya Agency</t>
        </is>
      </c>
      <c r="C76" s="150" t="inlineStr">
        <is>
          <t>Purchase</t>
        </is>
      </c>
      <c r="D76" s="151" t="inlineStr">
        <is>
          <t>1020</t>
        </is>
      </c>
      <c r="E76" s="1406" t="n">
        <v>2217</v>
      </c>
      <c r="F76" s="1407" t="n"/>
    </row>
    <row r="77" hidden="1">
      <c r="A77" s="1405" t="n">
        <v>44753</v>
      </c>
      <c r="B77" s="149" t="inlineStr">
        <is>
          <t>Surya Agency</t>
        </is>
      </c>
      <c r="C77" s="150" t="inlineStr">
        <is>
          <t>Purchase</t>
        </is>
      </c>
      <c r="D77" s="151" t="inlineStr">
        <is>
          <t>1027</t>
        </is>
      </c>
      <c r="E77" s="1406" t="n">
        <v>1451</v>
      </c>
      <c r="F77" s="1407" t="n"/>
    </row>
    <row r="78" hidden="1">
      <c r="A78" s="1405" t="n">
        <v>44743</v>
      </c>
      <c r="B78" s="149" t="inlineStr">
        <is>
          <t>Surya Sales Corporartion</t>
        </is>
      </c>
      <c r="C78" s="150" t="inlineStr">
        <is>
          <t>Purchase</t>
        </is>
      </c>
      <c r="D78" s="151" t="inlineStr">
        <is>
          <t>12</t>
        </is>
      </c>
      <c r="E78" s="1406" t="n">
        <v>19068</v>
      </c>
      <c r="F78" s="1407" t="n"/>
    </row>
    <row r="79" hidden="1">
      <c r="A79" s="1405" t="n">
        <v>44743</v>
      </c>
      <c r="B79" s="208" t="inlineStr">
        <is>
          <t>Vimal Ranachhodbhai Patel</t>
        </is>
      </c>
      <c r="C79" s="150" t="inlineStr">
        <is>
          <t>Journal</t>
        </is>
      </c>
      <c r="D79" s="151" t="inlineStr">
        <is>
          <t>214</t>
        </is>
      </c>
      <c r="E79" s="1410" t="n">
        <v>7814</v>
      </c>
      <c r="F79" s="1411" t="inlineStr">
        <is>
          <t>Office Rent</t>
        </is>
      </c>
    </row>
    <row r="80" hidden="1">
      <c r="A80" s="1405" t="n">
        <v>44743</v>
      </c>
      <c r="B80" s="208" t="inlineStr">
        <is>
          <t>Vishal Ranachhodbhai Patel</t>
        </is>
      </c>
      <c r="C80" s="150" t="inlineStr">
        <is>
          <t>Journal</t>
        </is>
      </c>
      <c r="D80" s="151" t="inlineStr">
        <is>
          <t>216</t>
        </is>
      </c>
      <c r="E80" s="1410" t="n">
        <v>7814</v>
      </c>
      <c r="F80" s="1411" t="inlineStr">
        <is>
          <t>Office Rent</t>
        </is>
      </c>
    </row>
  </sheetData>
  <autoFilter ref="A7:F80">
    <filterColumn colId="1" hiddenButton="0" showButton="1">
      <colorFilter dxfId="6"/>
    </filterColumn>
    <filterColumn colId="5" hiddenButton="0" showButton="1">
      <customFilters>
        <customFilter val=" " operator="notEqual"/>
      </customFilters>
    </filterColumn>
    <sortState ref="A8:F80">
      <sortCondition ref="B7:B80"/>
    </sortState>
  </autoFilter>
  <mergeCells count="6">
    <mergeCell ref="A4:B4"/>
    <mergeCell ref="A2:B2"/>
    <mergeCell ref="A5:B5"/>
    <mergeCell ref="A1:B1"/>
    <mergeCell ref="A3:B3"/>
    <mergeCell ref="A6:B6"/>
  </mergeCells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 codeName="Sheet15" filterMode="1">
    <outlinePr summaryBelow="1" summaryRight="1"/>
    <pageSetUpPr/>
  </sheetPr>
  <dimension ref="A1:V103"/>
  <sheetViews>
    <sheetView view="pageBreakPreview" zoomScale="60" workbookViewId="0">
      <selection activeCell="F70" sqref="F70"/>
    </sheetView>
  </sheetViews>
  <sheetFormatPr baseColWidth="8" defaultColWidth="9.140625" defaultRowHeight="15"/>
  <cols>
    <col width="20" customWidth="1" style="157" min="1" max="2"/>
    <col width="16.85546875" customWidth="1" style="157" min="3" max="3"/>
    <col width="15.85546875" customWidth="1" style="157" min="4" max="5"/>
    <col width="20" customWidth="1" style="157" min="6" max="8"/>
    <col width="10.140625" customWidth="1" style="157" min="9" max="9"/>
    <col width="20" customWidth="1" style="157" min="10" max="12"/>
    <col width="21.85546875" customWidth="1" style="157" min="13" max="13"/>
    <col width="20" customWidth="1" style="157" min="14" max="17"/>
    <col width="35" customWidth="1" style="157" min="18" max="18"/>
    <col width="20" customWidth="1" style="157" min="19" max="20"/>
    <col width="85" customWidth="1" style="157" min="21" max="21"/>
    <col width="20" customWidth="1" style="157" min="22" max="22"/>
    <col width="9.140625" customWidth="1" style="157" min="23" max="16384"/>
  </cols>
  <sheetData>
    <row r="1">
      <c r="A1" s="155" t="n"/>
      <c r="B1" s="157" t="inlineStr">
        <is>
          <t>from provisional Closing balance</t>
        </is>
      </c>
      <c r="E1" s="156" t="n"/>
      <c r="F1" s="157" t="inlineStr">
        <is>
          <t>COMMON CREDIT</t>
        </is>
      </c>
    </row>
    <row r="2">
      <c r="A2" s="158" t="n"/>
      <c r="B2" s="157" t="inlineStr">
        <is>
          <t xml:space="preserve">Credit avail </t>
        </is>
      </c>
    </row>
    <row r="3">
      <c r="A3" s="160" t="n"/>
      <c r="B3" s="157" t="inlineStr">
        <is>
          <t>Bill of footprint</t>
        </is>
      </c>
    </row>
    <row r="4">
      <c r="A4" s="161" t="n"/>
      <c r="B4" s="157" t="inlineStr">
        <is>
          <t>bill of Atmosphere</t>
        </is>
      </c>
    </row>
    <row r="5">
      <c r="A5" s="162" t="n"/>
      <c r="B5" s="157" t="inlineStr">
        <is>
          <t>Not to avail</t>
        </is>
      </c>
    </row>
    <row r="6">
      <c r="A6" s="157" t="inlineStr">
        <is>
          <t xml:space="preserve">NO COLOR </t>
        </is>
      </c>
      <c r="B6" s="157" t="inlineStr">
        <is>
          <t>CREDIT TO BE AVAIL ON PROVISIONAL BASIS</t>
        </is>
      </c>
    </row>
    <row r="7">
      <c r="A7" s="945" t="inlineStr">
        <is>
          <t>Goods and Services Tax  - GSTR-2B</t>
        </is>
      </c>
      <c r="B7" s="1412" t="n"/>
      <c r="C7" s="1412" t="n"/>
      <c r="D7" s="1412" t="n"/>
      <c r="E7" s="1412" t="n"/>
      <c r="F7" s="1412" t="n"/>
      <c r="G7" s="1412" t="n"/>
      <c r="H7" s="1412" t="n"/>
      <c r="I7" s="1412" t="n"/>
      <c r="J7" s="1412" t="n"/>
      <c r="K7" s="1412" t="n"/>
      <c r="L7" s="1412" t="n"/>
      <c r="M7" s="1412" t="n"/>
      <c r="N7" s="1412" t="n"/>
      <c r="O7" s="1412" t="n"/>
      <c r="P7" s="1412" t="n"/>
      <c r="Q7" s="1412" t="n"/>
      <c r="R7" s="1412" t="n"/>
      <c r="S7" s="1412" t="n"/>
      <c r="T7" s="1412" t="n"/>
      <c r="U7" s="1412" t="n"/>
      <c r="V7" s="1413" t="n"/>
    </row>
    <row r="8">
      <c r="A8" s="1414" t="n"/>
      <c r="V8" s="1415" t="n"/>
    </row>
    <row r="9">
      <c r="A9" s="1416" t="n"/>
      <c r="B9" s="1417" t="n"/>
      <c r="C9" s="1417" t="n"/>
      <c r="D9" s="1417" t="n"/>
      <c r="E9" s="1417" t="n"/>
      <c r="F9" s="1417" t="n"/>
      <c r="G9" s="1417" t="n"/>
      <c r="H9" s="1417" t="n"/>
      <c r="I9" s="1417" t="n"/>
      <c r="J9" s="1417" t="n"/>
      <c r="K9" s="1417" t="n"/>
      <c r="L9" s="1417" t="n"/>
      <c r="M9" s="1417" t="n"/>
      <c r="N9" s="1417" t="n"/>
      <c r="O9" s="1417" t="n"/>
      <c r="P9" s="1417" t="n"/>
      <c r="Q9" s="1417" t="n"/>
      <c r="R9" s="1417" t="n"/>
      <c r="S9" s="1417" t="n"/>
      <c r="T9" s="1417" t="n"/>
      <c r="U9" s="1417" t="n"/>
      <c r="V9" s="1418" t="n"/>
    </row>
    <row r="10">
      <c r="A10" s="946" t="inlineStr">
        <is>
          <t>Taxable inward supplies received from registered persons</t>
        </is>
      </c>
      <c r="B10" s="1254" t="n"/>
      <c r="C10" s="1254" t="n"/>
      <c r="D10" s="1254" t="n"/>
      <c r="E10" s="1254" t="n"/>
      <c r="F10" s="1254" t="n"/>
      <c r="G10" s="1254" t="n"/>
      <c r="H10" s="1254" t="n"/>
      <c r="I10" s="1254" t="n"/>
      <c r="J10" s="1254" t="n"/>
      <c r="K10" s="1254" t="n"/>
      <c r="L10" s="1254" t="n"/>
      <c r="M10" s="1254" t="n"/>
      <c r="N10" s="1254" t="n"/>
      <c r="O10" s="1254" t="n"/>
      <c r="P10" s="1254" t="n"/>
      <c r="Q10" s="1254" t="n"/>
      <c r="R10" s="1254" t="n"/>
      <c r="S10" s="1254" t="n"/>
      <c r="T10" s="1254" t="n"/>
      <c r="U10" s="1254" t="n"/>
      <c r="V10" s="1255" t="n"/>
    </row>
    <row r="11" ht="15" customHeight="1">
      <c r="A11" s="163" t="inlineStr">
        <is>
          <t>GSTIN of supplier</t>
        </is>
      </c>
      <c r="B11" s="163" t="inlineStr">
        <is>
          <t>Trade/Legal name</t>
        </is>
      </c>
      <c r="C11" s="163" t="inlineStr">
        <is>
          <t>Invoice Details</t>
        </is>
      </c>
      <c r="D11" s="163" t="n"/>
      <c r="E11" s="163" t="n"/>
      <c r="F11" s="163" t="n"/>
      <c r="G11" s="163" t="inlineStr">
        <is>
          <t>Place of supply</t>
        </is>
      </c>
      <c r="H11" s="163" t="inlineStr">
        <is>
          <t>Supply Attract Reverse Charge</t>
        </is>
      </c>
      <c r="I11" s="163" t="inlineStr">
        <is>
          <t>Rate(%)</t>
        </is>
      </c>
      <c r="J11" s="163" t="inlineStr">
        <is>
          <t>Taxable Value (₹)</t>
        </is>
      </c>
      <c r="K11" s="163" t="inlineStr">
        <is>
          <t>Tax Amount</t>
        </is>
      </c>
      <c r="L11" s="163" t="n"/>
      <c r="M11" s="163" t="n"/>
      <c r="N11" s="163" t="n"/>
      <c r="O11" s="163" t="inlineStr">
        <is>
          <t>GSTR-1/IFF/GSTR-5 Period</t>
        </is>
      </c>
      <c r="P11" s="163" t="inlineStr">
        <is>
          <t>GSTR-1/IFF/GSTR-5 Filing Date</t>
        </is>
      </c>
      <c r="Q11" s="163" t="inlineStr">
        <is>
          <t>ITC Availability</t>
        </is>
      </c>
      <c r="R11" s="163" t="inlineStr">
        <is>
          <t>Reason</t>
        </is>
      </c>
      <c r="S11" s="163" t="inlineStr">
        <is>
          <t>Applicable % of Tax Rate</t>
        </is>
      </c>
      <c r="T11" s="163" t="inlineStr">
        <is>
          <t>Source</t>
        </is>
      </c>
      <c r="U11" s="163" t="inlineStr">
        <is>
          <t>IRN</t>
        </is>
      </c>
      <c r="V11" s="163" t="inlineStr">
        <is>
          <t>IRN Date</t>
        </is>
      </c>
    </row>
    <row r="12">
      <c r="A12" s="163" t="n"/>
      <c r="B12" s="163" t="n"/>
      <c r="C12" s="164" t="inlineStr">
        <is>
          <t>Invoice number</t>
        </is>
      </c>
      <c r="D12" s="164" t="inlineStr">
        <is>
          <t>Invoice type</t>
        </is>
      </c>
      <c r="E12" s="164" t="inlineStr">
        <is>
          <t>Invoice Date</t>
        </is>
      </c>
      <c r="F12" s="164" t="inlineStr">
        <is>
          <t>Invoice Value(₹)</t>
        </is>
      </c>
      <c r="G12" s="163" t="n"/>
      <c r="H12" s="163" t="n"/>
      <c r="I12" s="163" t="n"/>
      <c r="J12" s="163" t="n"/>
      <c r="K12" s="164" t="inlineStr">
        <is>
          <t>Integrated Tax(₹)</t>
        </is>
      </c>
      <c r="L12" s="164" t="inlineStr">
        <is>
          <t>Central Tax(₹)</t>
        </is>
      </c>
      <c r="M12" s="164" t="inlineStr">
        <is>
          <t>State/UT Tax(₹)</t>
        </is>
      </c>
      <c r="N12" s="164" t="inlineStr">
        <is>
          <t>Cess(₹)</t>
        </is>
      </c>
      <c r="O12" s="163" t="n"/>
      <c r="P12" s="163" t="n"/>
      <c r="Q12" s="163" t="n"/>
      <c r="R12" s="163" t="n"/>
      <c r="S12" s="163" t="n"/>
      <c r="T12" s="163" t="n"/>
      <c r="U12" s="163" t="n"/>
      <c r="V12" s="163" t="n"/>
    </row>
    <row r="13">
      <c r="A13" s="165" t="n"/>
      <c r="B13" s="165" t="n"/>
      <c r="C13" s="166" t="n"/>
      <c r="D13" s="166" t="n"/>
      <c r="E13" s="166" t="n"/>
      <c r="F13" s="166" t="n"/>
      <c r="G13" s="165" t="n"/>
      <c r="H13" s="165" t="n"/>
      <c r="I13" s="165" t="n"/>
      <c r="J13" s="165" t="n"/>
      <c r="K13" s="166">
        <f>SUBTOTAL(9,K14:K103)</f>
        <v/>
      </c>
      <c r="L13" s="166">
        <f>SUBTOTAL(9,L14:L103)</f>
        <v/>
      </c>
      <c r="M13" s="166">
        <f>SUBTOTAL(9,M14:M103)</f>
        <v/>
      </c>
      <c r="N13" s="166" t="n"/>
      <c r="O13" s="165" t="n"/>
      <c r="P13" s="165" t="n"/>
      <c r="Q13" s="165" t="n"/>
      <c r="R13" s="165" t="n"/>
      <c r="S13" s="165" t="n"/>
      <c r="T13" s="165" t="n"/>
      <c r="U13" s="165" t="n"/>
      <c r="V13" s="165" t="n"/>
    </row>
    <row r="14" hidden="1" customFormat="1" s="158">
      <c r="A14" s="167" t="inlineStr">
        <is>
          <t>24AAOFA5311J1ZL</t>
        </is>
      </c>
      <c r="B14" s="167" t="inlineStr">
        <is>
          <t>AASHA  ENTERPRISE</t>
        </is>
      </c>
      <c r="C14" s="167" t="inlineStr">
        <is>
          <t>384</t>
        </is>
      </c>
      <c r="D14" s="168" t="inlineStr">
        <is>
          <t>Regular</t>
        </is>
      </c>
      <c r="E14" s="167" t="inlineStr">
        <is>
          <t>07/07/2022</t>
        </is>
      </c>
      <c r="F14" s="169" t="n">
        <v>188083</v>
      </c>
      <c r="G14" s="168" t="inlineStr">
        <is>
          <t>Gujarat</t>
        </is>
      </c>
      <c r="H14" s="170" t="inlineStr">
        <is>
          <t>No</t>
        </is>
      </c>
      <c r="I14" s="171" t="n">
        <v>18</v>
      </c>
      <c r="J14" s="169" t="n">
        <v>159392</v>
      </c>
      <c r="K14" s="169" t="n">
        <v>0</v>
      </c>
      <c r="L14" s="169" t="n">
        <v>14345.28</v>
      </c>
      <c r="M14" s="169" t="n">
        <v>14345.28</v>
      </c>
      <c r="N14" s="169" t="n">
        <v>0</v>
      </c>
      <c r="O14" s="167" t="inlineStr">
        <is>
          <t>Jul'22</t>
        </is>
      </c>
      <c r="P14" s="167" t="inlineStr">
        <is>
          <t>05/08/2022</t>
        </is>
      </c>
      <c r="Q14" s="170" t="inlineStr">
        <is>
          <t>Yes</t>
        </is>
      </c>
      <c r="R14" s="167" t="inlineStr"/>
      <c r="S14" s="171" t="inlineStr">
        <is>
          <t>100%</t>
        </is>
      </c>
      <c r="T14" s="172" t="inlineStr"/>
      <c r="U14" s="172" t="inlineStr"/>
      <c r="V14" s="172" t="inlineStr"/>
    </row>
    <row r="15" hidden="1" customFormat="1" s="158">
      <c r="A15" s="167" t="inlineStr">
        <is>
          <t>24AAOFA5311J1ZL</t>
        </is>
      </c>
      <c r="B15" s="167" t="inlineStr">
        <is>
          <t>AASHA  ENTERPRISE</t>
        </is>
      </c>
      <c r="C15" s="167" t="inlineStr">
        <is>
          <t>399</t>
        </is>
      </c>
      <c r="D15" s="168" t="inlineStr">
        <is>
          <t>Regular</t>
        </is>
      </c>
      <c r="E15" s="167" t="inlineStr">
        <is>
          <t>11/07/2022</t>
        </is>
      </c>
      <c r="F15" s="169" t="n">
        <v>21276</v>
      </c>
      <c r="G15" s="168" t="inlineStr">
        <is>
          <t>Gujarat</t>
        </is>
      </c>
      <c r="H15" s="170" t="inlineStr">
        <is>
          <t>No</t>
        </is>
      </c>
      <c r="I15" s="171" t="n">
        <v>18</v>
      </c>
      <c r="J15" s="169" t="n">
        <v>18030.4</v>
      </c>
      <c r="K15" s="169" t="n">
        <v>0</v>
      </c>
      <c r="L15" s="169" t="n">
        <v>1622.74</v>
      </c>
      <c r="M15" s="169" t="n">
        <v>1622.74</v>
      </c>
      <c r="N15" s="169" t="n">
        <v>0</v>
      </c>
      <c r="O15" s="167" t="inlineStr">
        <is>
          <t>Jul'22</t>
        </is>
      </c>
      <c r="P15" s="167" t="inlineStr">
        <is>
          <t>05/08/2022</t>
        </is>
      </c>
      <c r="Q15" s="170" t="inlineStr">
        <is>
          <t>Yes</t>
        </is>
      </c>
      <c r="R15" s="167" t="inlineStr"/>
      <c r="S15" s="171" t="inlineStr">
        <is>
          <t>100%</t>
        </is>
      </c>
      <c r="T15" s="172" t="inlineStr"/>
      <c r="U15" s="172" t="inlineStr"/>
      <c r="V15" s="172" t="inlineStr"/>
    </row>
    <row r="16" hidden="1" customFormat="1" s="158">
      <c r="A16" s="167" t="inlineStr">
        <is>
          <t>24AAOFA5311J1ZL</t>
        </is>
      </c>
      <c r="B16" s="167" t="inlineStr">
        <is>
          <t>AASHA  ENTERPRISE</t>
        </is>
      </c>
      <c r="C16" s="167" t="inlineStr">
        <is>
          <t>415</t>
        </is>
      </c>
      <c r="D16" s="168" t="inlineStr">
        <is>
          <t>Regular</t>
        </is>
      </c>
      <c r="E16" s="167" t="inlineStr">
        <is>
          <t>13/07/2022</t>
        </is>
      </c>
      <c r="F16" s="169" t="n">
        <v>50706</v>
      </c>
      <c r="G16" s="168" t="inlineStr">
        <is>
          <t>Gujarat</t>
        </is>
      </c>
      <c r="H16" s="170" t="inlineStr">
        <is>
          <t>No</t>
        </is>
      </c>
      <c r="I16" s="171" t="n">
        <v>18</v>
      </c>
      <c r="J16" s="169" t="n">
        <v>42971.2</v>
      </c>
      <c r="K16" s="169" t="n">
        <v>0</v>
      </c>
      <c r="L16" s="169" t="n">
        <v>3867.41</v>
      </c>
      <c r="M16" s="169" t="n">
        <v>3867.41</v>
      </c>
      <c r="N16" s="169" t="n">
        <v>0</v>
      </c>
      <c r="O16" s="167" t="inlineStr">
        <is>
          <t>Jul'22</t>
        </is>
      </c>
      <c r="P16" s="167" t="inlineStr">
        <is>
          <t>05/08/2022</t>
        </is>
      </c>
      <c r="Q16" s="170" t="inlineStr">
        <is>
          <t>Yes</t>
        </is>
      </c>
      <c r="R16" s="167" t="inlineStr"/>
      <c r="S16" s="171" t="inlineStr">
        <is>
          <t>100%</t>
        </is>
      </c>
      <c r="T16" s="172" t="inlineStr"/>
      <c r="U16" s="172" t="inlineStr"/>
      <c r="V16" s="172" t="inlineStr"/>
    </row>
    <row r="17" hidden="1" customFormat="1" s="160">
      <c r="A17" s="173" t="inlineStr">
        <is>
          <t>24ABIFA4856B1ZQ</t>
        </is>
      </c>
      <c r="B17" s="173" t="inlineStr">
        <is>
          <t>ALIGN ANIMATION LLP</t>
        </is>
      </c>
      <c r="C17" s="173" t="inlineStr">
        <is>
          <t>ALIGN/20</t>
        </is>
      </c>
      <c r="D17" s="168" t="inlineStr">
        <is>
          <t>Regular</t>
        </is>
      </c>
      <c r="E17" s="173" t="inlineStr">
        <is>
          <t>19/07/2022</t>
        </is>
      </c>
      <c r="F17" s="174" t="n">
        <v>100890</v>
      </c>
      <c r="G17" s="168" t="inlineStr">
        <is>
          <t>Gujarat</t>
        </is>
      </c>
      <c r="H17" s="175" t="inlineStr">
        <is>
          <t>No</t>
        </is>
      </c>
      <c r="I17" s="176" t="n">
        <v>18</v>
      </c>
      <c r="J17" s="174" t="n">
        <v>85500</v>
      </c>
      <c r="K17" s="174" t="n">
        <v>0</v>
      </c>
      <c r="L17" s="174" t="n">
        <v>7695</v>
      </c>
      <c r="M17" s="174" t="n">
        <v>7695</v>
      </c>
      <c r="N17" s="174" t="n">
        <v>0</v>
      </c>
      <c r="O17" s="173" t="inlineStr">
        <is>
          <t>Jul'22</t>
        </is>
      </c>
      <c r="P17" s="173" t="inlineStr">
        <is>
          <t>04/08/2022</t>
        </is>
      </c>
      <c r="Q17" s="175" t="inlineStr">
        <is>
          <t>Yes</t>
        </is>
      </c>
      <c r="R17" s="173" t="inlineStr"/>
      <c r="S17" s="176" t="inlineStr">
        <is>
          <t>100%</t>
        </is>
      </c>
      <c r="T17" s="177" t="inlineStr"/>
      <c r="U17" s="177" t="inlineStr"/>
      <c r="V17" s="177" t="inlineStr"/>
    </row>
    <row r="18">
      <c r="A18" s="168" t="inlineStr">
        <is>
          <t>24AAACB2894G1ZT</t>
        </is>
      </c>
      <c r="B18" s="168" t="inlineStr">
        <is>
          <t>BHARTI  AIRTEL LTD.</t>
        </is>
      </c>
      <c r="C18" s="168" t="inlineStr">
        <is>
          <t>HT2324I000347888</t>
        </is>
      </c>
      <c r="D18" s="168" t="inlineStr">
        <is>
          <t>Regular</t>
        </is>
      </c>
      <c r="E18" s="168" t="inlineStr">
        <is>
          <t>09/07/2022</t>
        </is>
      </c>
      <c r="F18" s="178" t="n">
        <v>1263.25</v>
      </c>
      <c r="G18" s="168" t="inlineStr">
        <is>
          <t>Gujarat</t>
        </is>
      </c>
      <c r="H18" s="179" t="inlineStr">
        <is>
          <t>No</t>
        </is>
      </c>
      <c r="I18" s="180" t="n">
        <v>18</v>
      </c>
      <c r="J18" s="178" t="n">
        <v>1070.53</v>
      </c>
      <c r="K18" s="178" t="n">
        <v>0</v>
      </c>
      <c r="L18" s="178" t="n">
        <v>96.36</v>
      </c>
      <c r="M18" s="178" t="n">
        <v>96.36</v>
      </c>
      <c r="N18" s="178" t="n">
        <v>0</v>
      </c>
      <c r="O18" s="168" t="inlineStr">
        <is>
          <t>Jul'22</t>
        </is>
      </c>
      <c r="P18" s="168" t="inlineStr">
        <is>
          <t>10/08/2022</t>
        </is>
      </c>
      <c r="Q18" s="179" t="inlineStr">
        <is>
          <t>Yes</t>
        </is>
      </c>
      <c r="R18" s="168" t="inlineStr"/>
      <c r="S18" s="180" t="inlineStr">
        <is>
          <t>100%</t>
        </is>
      </c>
      <c r="T18" s="181" t="inlineStr">
        <is>
          <t>E-Invoice</t>
        </is>
      </c>
      <c r="U18" s="181" t="inlineStr">
        <is>
          <t>5a6a558a5c936c6882a4fdc05d1c91eeee37a0d431bf9c3a3ea084228f31c237</t>
        </is>
      </c>
      <c r="V18" s="181" t="inlineStr">
        <is>
          <t>09/07/2022</t>
        </is>
      </c>
    </row>
    <row r="19" hidden="1" customFormat="1" s="158">
      <c r="A19" s="167" t="inlineStr">
        <is>
          <t>24AAGFB1937P1Z8</t>
        </is>
      </c>
      <c r="B19" s="167" t="inlineStr">
        <is>
          <t>BHUMI CORPORATION</t>
        </is>
      </c>
      <c r="C19" s="167" t="inlineStr">
        <is>
          <t>2509/2022-23</t>
        </is>
      </c>
      <c r="D19" s="168" t="inlineStr">
        <is>
          <t>Regular</t>
        </is>
      </c>
      <c r="E19" s="167" t="inlineStr">
        <is>
          <t>07/07/2022</t>
        </is>
      </c>
      <c r="F19" s="169" t="n">
        <v>178987</v>
      </c>
      <c r="G19" s="168" t="inlineStr">
        <is>
          <t>Gujarat</t>
        </is>
      </c>
      <c r="H19" s="170" t="inlineStr">
        <is>
          <t>No</t>
        </is>
      </c>
      <c r="I19" s="171" t="n">
        <v>18</v>
      </c>
      <c r="J19" s="169" t="n">
        <v>151684</v>
      </c>
      <c r="K19" s="169" t="n">
        <v>0</v>
      </c>
      <c r="L19" s="169" t="n">
        <v>13652</v>
      </c>
      <c r="M19" s="169" t="n">
        <v>13652</v>
      </c>
      <c r="N19" s="169" t="n">
        <v>0</v>
      </c>
      <c r="O19" s="167" t="inlineStr">
        <is>
          <t>Jul'22</t>
        </is>
      </c>
      <c r="P19" s="167" t="inlineStr">
        <is>
          <t>10/08/2022</t>
        </is>
      </c>
      <c r="Q19" s="170" t="inlineStr">
        <is>
          <t>Yes</t>
        </is>
      </c>
      <c r="R19" s="167" t="inlineStr"/>
      <c r="S19" s="171" t="inlineStr">
        <is>
          <t>100%</t>
        </is>
      </c>
      <c r="T19" s="172" t="inlineStr"/>
      <c r="U19" s="172" t="inlineStr"/>
      <c r="V19" s="172" t="inlineStr"/>
    </row>
    <row r="20" hidden="1" customFormat="1" s="158">
      <c r="A20" s="182" t="inlineStr">
        <is>
          <t>24AAACB8732B1Z6</t>
        </is>
      </c>
      <c r="B20" s="182" t="inlineStr">
        <is>
          <t>BLAZENET LIMITED</t>
        </is>
      </c>
      <c r="C20" s="182" t="inlineStr">
        <is>
          <t>AH/2223/07/0262</t>
        </is>
      </c>
      <c r="D20" s="182" t="inlineStr">
        <is>
          <t>Regular</t>
        </is>
      </c>
      <c r="E20" s="182" t="inlineStr">
        <is>
          <t>01/07/2022</t>
        </is>
      </c>
      <c r="F20" s="183" t="n">
        <v>11063</v>
      </c>
      <c r="G20" s="182" t="inlineStr">
        <is>
          <t>Gujarat</t>
        </is>
      </c>
      <c r="H20" s="184" t="inlineStr">
        <is>
          <t>No</t>
        </is>
      </c>
      <c r="I20" s="185" t="n">
        <v>18</v>
      </c>
      <c r="J20" s="183" t="n">
        <v>9375</v>
      </c>
      <c r="K20" s="183" t="n">
        <v>0</v>
      </c>
      <c r="L20" s="183" t="n">
        <v>843.75</v>
      </c>
      <c r="M20" s="183" t="n">
        <v>843.75</v>
      </c>
      <c r="N20" s="183" t="n">
        <v>0</v>
      </c>
      <c r="O20" s="182" t="inlineStr">
        <is>
          <t>Jul'22</t>
        </is>
      </c>
      <c r="P20" s="182" t="inlineStr">
        <is>
          <t>10/08/2022</t>
        </is>
      </c>
      <c r="Q20" s="184" t="inlineStr">
        <is>
          <t>Yes</t>
        </is>
      </c>
      <c r="R20" s="182" t="inlineStr"/>
      <c r="S20" s="185" t="inlineStr">
        <is>
          <t>100%</t>
        </is>
      </c>
      <c r="T20" s="186" t="inlineStr">
        <is>
          <t>E-Invoice</t>
        </is>
      </c>
      <c r="U20" s="186" t="inlineStr">
        <is>
          <t>37b76ab40a6f1fda18576fa4305cf063cdbeb4127e17975c1838e0440958b1d6</t>
        </is>
      </c>
      <c r="V20" s="186" t="inlineStr">
        <is>
          <t>29/07/2022</t>
        </is>
      </c>
    </row>
    <row r="21" hidden="1" customFormat="1" s="158">
      <c r="A21" s="167" t="inlineStr">
        <is>
          <t>24AAGFC5091H1ZJ</t>
        </is>
      </c>
      <c r="B21" s="167" t="inlineStr">
        <is>
          <t>COMPUBRAIN</t>
        </is>
      </c>
      <c r="C21" s="167" t="inlineStr">
        <is>
          <t>513</t>
        </is>
      </c>
      <c r="D21" s="168" t="inlineStr">
        <is>
          <t>Regular</t>
        </is>
      </c>
      <c r="E21" s="167" t="inlineStr">
        <is>
          <t>29/07/2022</t>
        </is>
      </c>
      <c r="F21" s="169" t="n">
        <v>5546</v>
      </c>
      <c r="G21" s="168" t="inlineStr">
        <is>
          <t>Gujarat</t>
        </is>
      </c>
      <c r="H21" s="170" t="inlineStr">
        <is>
          <t>No</t>
        </is>
      </c>
      <c r="I21" s="171" t="n">
        <v>18</v>
      </c>
      <c r="J21" s="169" t="n">
        <v>4700</v>
      </c>
      <c r="K21" s="169" t="n">
        <v>0</v>
      </c>
      <c r="L21" s="169" t="n">
        <v>423</v>
      </c>
      <c r="M21" s="169" t="n">
        <v>423</v>
      </c>
      <c r="N21" s="169" t="n">
        <v>0</v>
      </c>
      <c r="O21" s="167" t="inlineStr">
        <is>
          <t>Jul'22</t>
        </is>
      </c>
      <c r="P21" s="167" t="inlineStr">
        <is>
          <t>13/08/2022</t>
        </is>
      </c>
      <c r="Q21" s="170" t="inlineStr">
        <is>
          <t>Yes</t>
        </is>
      </c>
      <c r="R21" s="167" t="inlineStr"/>
      <c r="S21" s="171" t="inlineStr">
        <is>
          <t>100%</t>
        </is>
      </c>
      <c r="T21" s="172" t="inlineStr"/>
      <c r="U21" s="172" t="inlineStr"/>
      <c r="V21" s="172" t="inlineStr"/>
    </row>
    <row r="22" hidden="1" customFormat="1" s="158">
      <c r="A22" s="167" t="inlineStr">
        <is>
          <t>24AAGFC5091H1ZJ</t>
        </is>
      </c>
      <c r="B22" s="167" t="inlineStr">
        <is>
          <t>COMPUBRAIN</t>
        </is>
      </c>
      <c r="C22" s="167" t="inlineStr">
        <is>
          <t>515</t>
        </is>
      </c>
      <c r="D22" s="168" t="inlineStr">
        <is>
          <t>Regular</t>
        </is>
      </c>
      <c r="E22" s="167" t="inlineStr">
        <is>
          <t>29/07/2022</t>
        </is>
      </c>
      <c r="F22" s="169" t="n">
        <v>5546</v>
      </c>
      <c r="G22" s="168" t="inlineStr">
        <is>
          <t>Gujarat</t>
        </is>
      </c>
      <c r="H22" s="170" t="inlineStr">
        <is>
          <t>No</t>
        </is>
      </c>
      <c r="I22" s="171" t="n">
        <v>18</v>
      </c>
      <c r="J22" s="169" t="n">
        <v>4700</v>
      </c>
      <c r="K22" s="169" t="n">
        <v>0</v>
      </c>
      <c r="L22" s="169" t="n">
        <v>423</v>
      </c>
      <c r="M22" s="169" t="n">
        <v>423</v>
      </c>
      <c r="N22" s="169" t="n">
        <v>0</v>
      </c>
      <c r="O22" s="167" t="inlineStr">
        <is>
          <t>Jul'22</t>
        </is>
      </c>
      <c r="P22" s="167" t="inlineStr">
        <is>
          <t>13/08/2022</t>
        </is>
      </c>
      <c r="Q22" s="170" t="inlineStr">
        <is>
          <t>Yes</t>
        </is>
      </c>
      <c r="R22" s="167" t="inlineStr"/>
      <c r="S22" s="171" t="inlineStr">
        <is>
          <t>100%</t>
        </is>
      </c>
      <c r="T22" s="172" t="inlineStr"/>
      <c r="U22" s="172" t="inlineStr"/>
      <c r="V22" s="172" t="inlineStr"/>
    </row>
    <row r="23" hidden="1" customFormat="1" s="161">
      <c r="A23" s="187" t="inlineStr">
        <is>
          <t>24AAGFC5091H1ZJ</t>
        </is>
      </c>
      <c r="B23" s="187" t="inlineStr">
        <is>
          <t>COMPUBRAIN</t>
        </is>
      </c>
      <c r="C23" s="187" t="inlineStr">
        <is>
          <t>517</t>
        </is>
      </c>
      <c r="D23" s="168" t="inlineStr">
        <is>
          <t>Regular</t>
        </is>
      </c>
      <c r="E23" s="187" t="inlineStr">
        <is>
          <t>29/07/2022</t>
        </is>
      </c>
      <c r="F23" s="188" t="n">
        <v>43989</v>
      </c>
      <c r="G23" s="168" t="inlineStr">
        <is>
          <t>Gujarat</t>
        </is>
      </c>
      <c r="H23" s="189" t="inlineStr">
        <is>
          <t>No</t>
        </is>
      </c>
      <c r="I23" s="190" t="n">
        <v>18</v>
      </c>
      <c r="J23" s="188" t="n">
        <v>37279</v>
      </c>
      <c r="K23" s="188" t="n">
        <v>0</v>
      </c>
      <c r="L23" s="188" t="n">
        <v>3355.11</v>
      </c>
      <c r="M23" s="188" t="n">
        <v>3355.11</v>
      </c>
      <c r="N23" s="188" t="n">
        <v>0</v>
      </c>
      <c r="O23" s="187" t="inlineStr">
        <is>
          <t>Jul'22</t>
        </is>
      </c>
      <c r="P23" s="187" t="inlineStr">
        <is>
          <t>13/08/2022</t>
        </is>
      </c>
      <c r="Q23" s="189" t="inlineStr">
        <is>
          <t>Yes</t>
        </is>
      </c>
      <c r="R23" s="187" t="inlineStr"/>
      <c r="S23" s="190" t="inlineStr">
        <is>
          <t>100%</t>
        </is>
      </c>
      <c r="T23" s="191" t="inlineStr"/>
      <c r="U23" s="191" t="inlineStr"/>
      <c r="V23" s="191" t="inlineStr"/>
    </row>
    <row r="24" hidden="1" customFormat="1" s="158">
      <c r="A24" s="167" t="inlineStr">
        <is>
          <t>24AAGFC5091H1ZJ</t>
        </is>
      </c>
      <c r="B24" s="167" t="inlineStr">
        <is>
          <t>COMPUBRAIN</t>
        </is>
      </c>
      <c r="C24" s="167" t="inlineStr">
        <is>
          <t>519</t>
        </is>
      </c>
      <c r="D24" s="168" t="inlineStr">
        <is>
          <t>Regular</t>
        </is>
      </c>
      <c r="E24" s="167" t="inlineStr">
        <is>
          <t>29/07/2022</t>
        </is>
      </c>
      <c r="F24" s="169" t="n">
        <v>28851</v>
      </c>
      <c r="G24" s="168" t="inlineStr">
        <is>
          <t>Gujarat</t>
        </is>
      </c>
      <c r="H24" s="170" t="inlineStr">
        <is>
          <t>No</t>
        </is>
      </c>
      <c r="I24" s="171" t="n">
        <v>18</v>
      </c>
      <c r="J24" s="169" t="n">
        <v>24450</v>
      </c>
      <c r="K24" s="169" t="n">
        <v>0</v>
      </c>
      <c r="L24" s="169" t="n">
        <v>2200.5</v>
      </c>
      <c r="M24" s="169" t="n">
        <v>2200.5</v>
      </c>
      <c r="N24" s="169" t="n">
        <v>0</v>
      </c>
      <c r="O24" s="167" t="inlineStr">
        <is>
          <t>Jul'22</t>
        </is>
      </c>
      <c r="P24" s="167" t="inlineStr">
        <is>
          <t>13/08/2022</t>
        </is>
      </c>
      <c r="Q24" s="170" t="inlineStr">
        <is>
          <t>Yes</t>
        </is>
      </c>
      <c r="R24" s="167" t="inlineStr"/>
      <c r="S24" s="171" t="inlineStr">
        <is>
          <t>100%</t>
        </is>
      </c>
      <c r="T24" s="172" t="inlineStr"/>
      <c r="U24" s="172" t="inlineStr"/>
      <c r="V24" s="172" t="inlineStr"/>
    </row>
    <row r="25" hidden="1" customFormat="1" s="161">
      <c r="A25" s="187" t="inlineStr">
        <is>
          <t>24AAGFC5091H1ZJ</t>
        </is>
      </c>
      <c r="B25" s="187" t="inlineStr">
        <is>
          <t>COMPUBRAIN</t>
        </is>
      </c>
      <c r="C25" s="187" t="inlineStr">
        <is>
          <t>521</t>
        </is>
      </c>
      <c r="D25" s="168" t="inlineStr">
        <is>
          <t>Regular</t>
        </is>
      </c>
      <c r="E25" s="187" t="inlineStr">
        <is>
          <t>29/07/2022</t>
        </is>
      </c>
      <c r="F25" s="188" t="n">
        <v>28902</v>
      </c>
      <c r="G25" s="168" t="inlineStr">
        <is>
          <t>Gujarat</t>
        </is>
      </c>
      <c r="H25" s="189" t="inlineStr">
        <is>
          <t>No</t>
        </is>
      </c>
      <c r="I25" s="190" t="n">
        <v>18</v>
      </c>
      <c r="J25" s="188" t="n">
        <v>24493</v>
      </c>
      <c r="K25" s="188" t="n">
        <v>0</v>
      </c>
      <c r="L25" s="188" t="n">
        <v>2204.37</v>
      </c>
      <c r="M25" s="188" t="n">
        <v>2204.37</v>
      </c>
      <c r="N25" s="188" t="n">
        <v>0</v>
      </c>
      <c r="O25" s="187" t="inlineStr">
        <is>
          <t>Jul'22</t>
        </is>
      </c>
      <c r="P25" s="187" t="inlineStr">
        <is>
          <t>13/08/2022</t>
        </is>
      </c>
      <c r="Q25" s="189" t="inlineStr">
        <is>
          <t>Yes</t>
        </is>
      </c>
      <c r="R25" s="187" t="inlineStr"/>
      <c r="S25" s="190" t="inlineStr">
        <is>
          <t>100%</t>
        </is>
      </c>
      <c r="T25" s="191" t="inlineStr"/>
      <c r="U25" s="191" t="inlineStr"/>
      <c r="V25" s="191" t="inlineStr"/>
    </row>
    <row r="26" hidden="1" customFormat="1" s="161">
      <c r="A26" s="187" t="inlineStr">
        <is>
          <t>24AAGFC5091H1ZJ</t>
        </is>
      </c>
      <c r="B26" s="187" t="inlineStr">
        <is>
          <t>COMPUBRAIN</t>
        </is>
      </c>
      <c r="C26" s="187" t="inlineStr">
        <is>
          <t>523</t>
        </is>
      </c>
      <c r="D26" s="168" t="inlineStr">
        <is>
          <t>Regular</t>
        </is>
      </c>
      <c r="E26" s="187" t="inlineStr">
        <is>
          <t>29/07/2022</t>
        </is>
      </c>
      <c r="F26" s="188" t="n">
        <v>23600</v>
      </c>
      <c r="G26" s="168" t="inlineStr">
        <is>
          <t>Gujarat</t>
        </is>
      </c>
      <c r="H26" s="189" t="inlineStr">
        <is>
          <t>No</t>
        </is>
      </c>
      <c r="I26" s="190" t="n">
        <v>18</v>
      </c>
      <c r="J26" s="188" t="n">
        <v>20000</v>
      </c>
      <c r="K26" s="188" t="n">
        <v>0</v>
      </c>
      <c r="L26" s="188" t="n">
        <v>1800</v>
      </c>
      <c r="M26" s="188" t="n">
        <v>1800</v>
      </c>
      <c r="N26" s="188" t="n">
        <v>0</v>
      </c>
      <c r="O26" s="187" t="inlineStr">
        <is>
          <t>Jul'22</t>
        </is>
      </c>
      <c r="P26" s="187" t="inlineStr">
        <is>
          <t>13/08/2022</t>
        </is>
      </c>
      <c r="Q26" s="189" t="inlineStr">
        <is>
          <t>Yes</t>
        </is>
      </c>
      <c r="R26" s="187" t="inlineStr"/>
      <c r="S26" s="190" t="inlineStr">
        <is>
          <t>100%</t>
        </is>
      </c>
      <c r="T26" s="191" t="inlineStr"/>
      <c r="U26" s="191" t="inlineStr"/>
      <c r="V26" s="191" t="inlineStr"/>
    </row>
    <row r="27" hidden="1" customFormat="1" s="158">
      <c r="A27" s="167" t="inlineStr">
        <is>
          <t>24AAGFC5091H1ZJ</t>
        </is>
      </c>
      <c r="B27" s="167" t="inlineStr">
        <is>
          <t>COMPUBRAIN</t>
        </is>
      </c>
      <c r="C27" s="167" t="inlineStr">
        <is>
          <t>525</t>
        </is>
      </c>
      <c r="D27" s="168" t="inlineStr">
        <is>
          <t>Regular</t>
        </is>
      </c>
      <c r="E27" s="167" t="inlineStr">
        <is>
          <t>29/07/2022</t>
        </is>
      </c>
      <c r="F27" s="169" t="n">
        <v>31854</v>
      </c>
      <c r="G27" s="168" t="inlineStr">
        <is>
          <t>Gujarat</t>
        </is>
      </c>
      <c r="H27" s="170" t="inlineStr">
        <is>
          <t>No</t>
        </is>
      </c>
      <c r="I27" s="171" t="n">
        <v>18</v>
      </c>
      <c r="J27" s="169" t="n">
        <v>26995</v>
      </c>
      <c r="K27" s="169" t="n">
        <v>0</v>
      </c>
      <c r="L27" s="169" t="n">
        <v>2429.55</v>
      </c>
      <c r="M27" s="169" t="n">
        <v>2429.55</v>
      </c>
      <c r="N27" s="169" t="n">
        <v>0</v>
      </c>
      <c r="O27" s="167" t="inlineStr">
        <is>
          <t>Jul'22</t>
        </is>
      </c>
      <c r="P27" s="167" t="inlineStr">
        <is>
          <t>13/08/2022</t>
        </is>
      </c>
      <c r="Q27" s="170" t="inlineStr">
        <is>
          <t>Yes</t>
        </is>
      </c>
      <c r="R27" s="167" t="inlineStr"/>
      <c r="S27" s="171" t="inlineStr">
        <is>
          <t>100%</t>
        </is>
      </c>
      <c r="T27" s="172" t="inlineStr"/>
      <c r="U27" s="172" t="inlineStr"/>
      <c r="V27" s="172" t="inlineStr"/>
    </row>
    <row r="28" hidden="1" customFormat="1" s="158">
      <c r="A28" s="167" t="inlineStr">
        <is>
          <t>24AAGFC5091H1ZJ</t>
        </is>
      </c>
      <c r="B28" s="167" t="inlineStr">
        <is>
          <t>COMPUBRAIN</t>
        </is>
      </c>
      <c r="C28" s="167" t="inlineStr">
        <is>
          <t>527</t>
        </is>
      </c>
      <c r="D28" s="168" t="inlineStr">
        <is>
          <t>Regular</t>
        </is>
      </c>
      <c r="E28" s="167" t="inlineStr">
        <is>
          <t>29/07/2022</t>
        </is>
      </c>
      <c r="F28" s="169" t="n">
        <v>26918</v>
      </c>
      <c r="G28" s="168" t="inlineStr">
        <is>
          <t>Gujarat</t>
        </is>
      </c>
      <c r="H28" s="170" t="inlineStr">
        <is>
          <t>No</t>
        </is>
      </c>
      <c r="I28" s="171" t="n">
        <v>18</v>
      </c>
      <c r="J28" s="169" t="n">
        <v>22812</v>
      </c>
      <c r="K28" s="169" t="n">
        <v>0</v>
      </c>
      <c r="L28" s="169" t="n">
        <v>2053.08</v>
      </c>
      <c r="M28" s="169" t="n">
        <v>2053.08</v>
      </c>
      <c r="N28" s="169" t="n">
        <v>0</v>
      </c>
      <c r="O28" s="167" t="inlineStr">
        <is>
          <t>Jul'22</t>
        </is>
      </c>
      <c r="P28" s="167" t="inlineStr">
        <is>
          <t>13/08/2022</t>
        </is>
      </c>
      <c r="Q28" s="170" t="inlineStr">
        <is>
          <t>Yes</t>
        </is>
      </c>
      <c r="R28" s="167" t="inlineStr"/>
      <c r="S28" s="171" t="inlineStr">
        <is>
          <t>100%</t>
        </is>
      </c>
      <c r="T28" s="172" t="inlineStr"/>
      <c r="U28" s="172" t="inlineStr"/>
      <c r="V28" s="172" t="inlineStr"/>
    </row>
    <row r="29" hidden="1" customFormat="1" s="156">
      <c r="A29" s="182" t="inlineStr">
        <is>
          <t>24AAECC2564J1ZQ</t>
        </is>
      </c>
      <c r="B29" s="182" t="inlineStr">
        <is>
          <t>COSMOS MANPOWER PVT.LTD</t>
        </is>
      </c>
      <c r="C29" s="182" t="inlineStr">
        <is>
          <t>376</t>
        </is>
      </c>
      <c r="D29" s="168" t="inlineStr">
        <is>
          <t>Regular</t>
        </is>
      </c>
      <c r="E29" s="182" t="inlineStr">
        <is>
          <t>01/07/2022</t>
        </is>
      </c>
      <c r="F29" s="183" t="n">
        <v>38940</v>
      </c>
      <c r="G29" s="168" t="inlineStr">
        <is>
          <t>Gujarat</t>
        </is>
      </c>
      <c r="H29" s="184" t="inlineStr">
        <is>
          <t>No</t>
        </is>
      </c>
      <c r="I29" s="185" t="n">
        <v>18</v>
      </c>
      <c r="J29" s="183" t="n">
        <v>33000</v>
      </c>
      <c r="K29" s="183" t="n">
        <v>0</v>
      </c>
      <c r="L29" s="183" t="n">
        <v>2970</v>
      </c>
      <c r="M29" s="183" t="n">
        <v>2970</v>
      </c>
      <c r="N29" s="183" t="n">
        <v>0</v>
      </c>
      <c r="O29" s="182" t="inlineStr">
        <is>
          <t>Jul'22</t>
        </is>
      </c>
      <c r="P29" s="182" t="inlineStr">
        <is>
          <t>11/08/2022</t>
        </is>
      </c>
      <c r="Q29" s="184" t="inlineStr">
        <is>
          <t>Yes</t>
        </is>
      </c>
      <c r="R29" s="182" t="inlineStr"/>
      <c r="S29" s="185" t="inlineStr">
        <is>
          <t>100%</t>
        </is>
      </c>
      <c r="T29" s="186" t="inlineStr"/>
      <c r="U29" s="186" t="inlineStr"/>
      <c r="V29" s="186" t="inlineStr"/>
    </row>
    <row r="30">
      <c r="A30" s="168" t="inlineStr">
        <is>
          <t>24ABPPD5269E2ZN</t>
        </is>
      </c>
      <c r="B30" s="168" t="inlineStr">
        <is>
          <t>DEE FURNISHINGS</t>
        </is>
      </c>
      <c r="C30" s="168" t="inlineStr">
        <is>
          <t>0917</t>
        </is>
      </c>
      <c r="D30" s="168" t="inlineStr">
        <is>
          <t>Regular</t>
        </is>
      </c>
      <c r="E30" s="168" t="inlineStr">
        <is>
          <t>15/07/2022</t>
        </is>
      </c>
      <c r="F30" s="178" t="n">
        <v>819</v>
      </c>
      <c r="G30" s="168" t="inlineStr">
        <is>
          <t>Gujarat</t>
        </is>
      </c>
      <c r="H30" s="179" t="inlineStr">
        <is>
          <t>No</t>
        </is>
      </c>
      <c r="I30" s="180" t="n">
        <v>5</v>
      </c>
      <c r="J30" s="178" t="n">
        <v>780</v>
      </c>
      <c r="K30" s="178" t="n">
        <v>0</v>
      </c>
      <c r="L30" s="178" t="n">
        <v>19.5</v>
      </c>
      <c r="M30" s="178" t="n">
        <v>19.5</v>
      </c>
      <c r="N30" s="178" t="n">
        <v>0</v>
      </c>
      <c r="O30" s="168" t="inlineStr">
        <is>
          <t>Jul'22</t>
        </is>
      </c>
      <c r="P30" s="168" t="inlineStr">
        <is>
          <t>10/08/2022</t>
        </is>
      </c>
      <c r="Q30" s="179" t="inlineStr">
        <is>
          <t>Yes</t>
        </is>
      </c>
      <c r="R30" s="168" t="inlineStr"/>
      <c r="S30" s="180" t="inlineStr">
        <is>
          <t>100%</t>
        </is>
      </c>
      <c r="T30" s="181" t="inlineStr"/>
      <c r="U30" s="181" t="inlineStr"/>
      <c r="V30" s="181" t="inlineStr"/>
    </row>
    <row r="31" hidden="1" customFormat="1" s="158">
      <c r="A31" s="167" t="inlineStr">
        <is>
          <t>24ATUPV0858Q2ZH</t>
        </is>
      </c>
      <c r="B31" s="167" t="inlineStr">
        <is>
          <t>DELTA ENTERPRISE</t>
        </is>
      </c>
      <c r="C31" s="167" t="inlineStr">
        <is>
          <t>DE/41/22-23</t>
        </is>
      </c>
      <c r="D31" s="168" t="inlineStr">
        <is>
          <t>Regular</t>
        </is>
      </c>
      <c r="E31" s="167" t="inlineStr">
        <is>
          <t>06/07/2022</t>
        </is>
      </c>
      <c r="F31" s="169" t="n">
        <v>174050</v>
      </c>
      <c r="G31" s="168" t="inlineStr">
        <is>
          <t>Gujarat</t>
        </is>
      </c>
      <c r="H31" s="170" t="inlineStr">
        <is>
          <t>No</t>
        </is>
      </c>
      <c r="I31" s="171" t="n">
        <v>18</v>
      </c>
      <c r="J31" s="169" t="n">
        <v>147500</v>
      </c>
      <c r="K31" s="169" t="n">
        <v>0</v>
      </c>
      <c r="L31" s="169" t="n">
        <v>13275</v>
      </c>
      <c r="M31" s="169" t="n">
        <v>13275</v>
      </c>
      <c r="N31" s="169" t="n">
        <v>0</v>
      </c>
      <c r="O31" s="167" t="inlineStr">
        <is>
          <t>Jul'22</t>
        </is>
      </c>
      <c r="P31" s="167" t="inlineStr">
        <is>
          <t>05/08/2022</t>
        </is>
      </c>
      <c r="Q31" s="170" t="inlineStr">
        <is>
          <t>Yes</t>
        </is>
      </c>
      <c r="R31" s="167" t="inlineStr"/>
      <c r="S31" s="171" t="inlineStr">
        <is>
          <t>100%</t>
        </is>
      </c>
      <c r="T31" s="172" t="inlineStr"/>
      <c r="U31" s="172" t="inlineStr"/>
      <c r="V31" s="172" t="inlineStr"/>
    </row>
    <row r="32" hidden="1" customFormat="1" s="156">
      <c r="A32" s="182" t="inlineStr">
        <is>
          <t>24AAKFD7969H1ZZ</t>
        </is>
      </c>
      <c r="B32" s="182" t="inlineStr">
        <is>
          <t>DHRUV ENTERPRISE</t>
        </is>
      </c>
      <c r="C32" s="182" t="inlineStr">
        <is>
          <t>DE-22-23-0107</t>
        </is>
      </c>
      <c r="D32" s="168" t="inlineStr">
        <is>
          <t>Regular</t>
        </is>
      </c>
      <c r="E32" s="182" t="inlineStr">
        <is>
          <t>01/07/2022</t>
        </is>
      </c>
      <c r="F32" s="183" t="n">
        <v>91754</v>
      </c>
      <c r="G32" s="168" t="inlineStr">
        <is>
          <t>Gujarat</t>
        </is>
      </c>
      <c r="H32" s="184" t="inlineStr">
        <is>
          <t>No</t>
        </is>
      </c>
      <c r="I32" s="185" t="n">
        <v>18</v>
      </c>
      <c r="J32" s="183" t="n">
        <v>77758</v>
      </c>
      <c r="K32" s="183" t="n">
        <v>0</v>
      </c>
      <c r="L32" s="183" t="n">
        <v>6998.22</v>
      </c>
      <c r="M32" s="183" t="n">
        <v>6998.22</v>
      </c>
      <c r="N32" s="183" t="n">
        <v>0</v>
      </c>
      <c r="O32" s="182" t="inlineStr">
        <is>
          <t>Jul'22</t>
        </is>
      </c>
      <c r="P32" s="182" t="inlineStr">
        <is>
          <t>13/08/2022</t>
        </is>
      </c>
      <c r="Q32" s="184" t="inlineStr">
        <is>
          <t>Yes</t>
        </is>
      </c>
      <c r="R32" s="182" t="inlineStr"/>
      <c r="S32" s="185" t="inlineStr">
        <is>
          <t>100%</t>
        </is>
      </c>
      <c r="T32" s="186" t="inlineStr"/>
      <c r="U32" s="186" t="inlineStr"/>
      <c r="V32" s="186" t="inlineStr"/>
    </row>
    <row r="33" hidden="1" customFormat="1" s="158">
      <c r="A33" s="167" t="inlineStr">
        <is>
          <t>24AGWPP5800H2Z3</t>
        </is>
      </c>
      <c r="B33" s="167" t="inlineStr">
        <is>
          <t>DRISHTI ELECTRICALS</t>
        </is>
      </c>
      <c r="C33" s="167" t="inlineStr">
        <is>
          <t>GST/1315/22-23</t>
        </is>
      </c>
      <c r="D33" s="168" t="inlineStr">
        <is>
          <t>Regular</t>
        </is>
      </c>
      <c r="E33" s="167" t="inlineStr">
        <is>
          <t>12/07/2022</t>
        </is>
      </c>
      <c r="F33" s="169" t="n">
        <v>160455</v>
      </c>
      <c r="G33" s="168" t="inlineStr">
        <is>
          <t>Gujarat</t>
        </is>
      </c>
      <c r="H33" s="170" t="inlineStr">
        <is>
          <t>No</t>
        </is>
      </c>
      <c r="I33" s="171" t="n">
        <v>18</v>
      </c>
      <c r="J33" s="169" t="n">
        <v>135978</v>
      </c>
      <c r="K33" s="169" t="n">
        <v>0</v>
      </c>
      <c r="L33" s="169" t="n">
        <v>12238</v>
      </c>
      <c r="M33" s="169" t="n">
        <v>12238</v>
      </c>
      <c r="N33" s="169" t="n">
        <v>0</v>
      </c>
      <c r="O33" s="167" t="inlineStr">
        <is>
          <t>Jul'22</t>
        </is>
      </c>
      <c r="P33" s="167" t="inlineStr">
        <is>
          <t>09/08/2022</t>
        </is>
      </c>
      <c r="Q33" s="170" t="inlineStr">
        <is>
          <t>Yes</t>
        </is>
      </c>
      <c r="R33" s="167" t="inlineStr"/>
      <c r="S33" s="171" t="inlineStr">
        <is>
          <t>100%</t>
        </is>
      </c>
      <c r="T33" s="172" t="inlineStr"/>
      <c r="U33" s="172" t="inlineStr"/>
      <c r="V33" s="172" t="inlineStr"/>
    </row>
    <row r="34">
      <c r="A34" s="168" t="inlineStr">
        <is>
          <t>24AGWPP5800H2Z3</t>
        </is>
      </c>
      <c r="B34" s="168" t="inlineStr">
        <is>
          <t>DRISHTI ELECTRICALS</t>
        </is>
      </c>
      <c r="C34" s="168" t="inlineStr">
        <is>
          <t>GST/1467/22-23</t>
        </is>
      </c>
      <c r="D34" s="168" t="inlineStr">
        <is>
          <t>Regular</t>
        </is>
      </c>
      <c r="E34" s="168" t="inlineStr">
        <is>
          <t>25/07/2022</t>
        </is>
      </c>
      <c r="F34" s="178" t="n">
        <v>3336</v>
      </c>
      <c r="G34" s="168" t="inlineStr">
        <is>
          <t>Gujarat</t>
        </is>
      </c>
      <c r="H34" s="179" t="inlineStr">
        <is>
          <t>No</t>
        </is>
      </c>
      <c r="I34" s="180" t="n">
        <v>18</v>
      </c>
      <c r="J34" s="178" t="n">
        <v>2827</v>
      </c>
      <c r="K34" s="178" t="n">
        <v>0</v>
      </c>
      <c r="L34" s="178" t="n">
        <v>254</v>
      </c>
      <c r="M34" s="178" t="n">
        <v>254</v>
      </c>
      <c r="N34" s="178" t="n">
        <v>0</v>
      </c>
      <c r="O34" s="168" t="inlineStr">
        <is>
          <t>Jul'22</t>
        </is>
      </c>
      <c r="P34" s="168" t="inlineStr">
        <is>
          <t>09/08/2022</t>
        </is>
      </c>
      <c r="Q34" s="179" t="inlineStr">
        <is>
          <t>Yes</t>
        </is>
      </c>
      <c r="R34" s="168" t="inlineStr"/>
      <c r="S34" s="180" t="inlineStr">
        <is>
          <t>100%</t>
        </is>
      </c>
      <c r="T34" s="181" t="inlineStr"/>
      <c r="U34" s="181" t="inlineStr"/>
      <c r="V34" s="181" t="inlineStr"/>
    </row>
    <row r="35" hidden="1" customFormat="1" s="158">
      <c r="A35" s="167" t="inlineStr">
        <is>
          <t>24AGWPP5800H2Z3</t>
        </is>
      </c>
      <c r="B35" s="167" t="inlineStr">
        <is>
          <t>DRISHTI ELECTRICALS</t>
        </is>
      </c>
      <c r="C35" s="167" t="inlineStr">
        <is>
          <t>GST/1522/22-23</t>
        </is>
      </c>
      <c r="D35" s="168" t="inlineStr">
        <is>
          <t>Regular</t>
        </is>
      </c>
      <c r="E35" s="167" t="inlineStr">
        <is>
          <t>28/07/2022</t>
        </is>
      </c>
      <c r="F35" s="169" t="n">
        <v>5900</v>
      </c>
      <c r="G35" s="168" t="inlineStr">
        <is>
          <t>Gujarat</t>
        </is>
      </c>
      <c r="H35" s="170" t="inlineStr">
        <is>
          <t>No</t>
        </is>
      </c>
      <c r="I35" s="171" t="n">
        <v>18</v>
      </c>
      <c r="J35" s="169" t="n">
        <v>5000</v>
      </c>
      <c r="K35" s="169" t="n">
        <v>0</v>
      </c>
      <c r="L35" s="169" t="n">
        <v>450</v>
      </c>
      <c r="M35" s="169" t="n">
        <v>450</v>
      </c>
      <c r="N35" s="169" t="n">
        <v>0</v>
      </c>
      <c r="O35" s="167" t="inlineStr">
        <is>
          <t>Jul'22</t>
        </is>
      </c>
      <c r="P35" s="167" t="inlineStr">
        <is>
          <t>09/08/2022</t>
        </is>
      </c>
      <c r="Q35" s="170" t="inlineStr">
        <is>
          <t>Yes</t>
        </is>
      </c>
      <c r="R35" s="167" t="inlineStr"/>
      <c r="S35" s="171" t="inlineStr">
        <is>
          <t>100%</t>
        </is>
      </c>
      <c r="T35" s="172" t="inlineStr"/>
      <c r="U35" s="172" t="inlineStr"/>
      <c r="V35" s="172" t="inlineStr"/>
    </row>
    <row r="36">
      <c r="A36" s="168" t="inlineStr">
        <is>
          <t>06AABCF5150G1ZZ</t>
        </is>
      </c>
      <c r="B36" s="168" t="inlineStr">
        <is>
          <t>FACEBOOK INDIA ONLINE SERVICES PRIVATE LIMITED</t>
        </is>
      </c>
      <c r="C36" s="168" t="inlineStr">
        <is>
          <t>ADS190-102034829</t>
        </is>
      </c>
      <c r="D36" s="168" t="inlineStr">
        <is>
          <t>Regular</t>
        </is>
      </c>
      <c r="E36" s="168" t="inlineStr">
        <is>
          <t>01/07/2022</t>
        </is>
      </c>
      <c r="F36" s="178" t="n">
        <v>2.55</v>
      </c>
      <c r="G36" s="168" t="inlineStr">
        <is>
          <t>Gujarat</t>
        </is>
      </c>
      <c r="H36" s="179" t="inlineStr">
        <is>
          <t>No</t>
        </is>
      </c>
      <c r="I36" s="180" t="n">
        <v>18</v>
      </c>
      <c r="J36" s="178" t="n">
        <v>2.16</v>
      </c>
      <c r="K36" s="178" t="n">
        <v>0.39</v>
      </c>
      <c r="L36" s="178" t="n">
        <v>0</v>
      </c>
      <c r="M36" s="178" t="n">
        <v>0</v>
      </c>
      <c r="N36" s="178" t="n">
        <v>0</v>
      </c>
      <c r="O36" s="168" t="inlineStr">
        <is>
          <t>Jul'22</t>
        </is>
      </c>
      <c r="P36" s="168" t="inlineStr">
        <is>
          <t>10/08/2022</t>
        </is>
      </c>
      <c r="Q36" s="179" t="inlineStr">
        <is>
          <t>Yes</t>
        </is>
      </c>
      <c r="R36" s="168" t="inlineStr"/>
      <c r="S36" s="180" t="inlineStr">
        <is>
          <t>100%</t>
        </is>
      </c>
      <c r="T36" s="181" t="inlineStr">
        <is>
          <t>E-Invoice</t>
        </is>
      </c>
      <c r="U36" s="181" t="inlineStr">
        <is>
          <t>9e48a8b5d26c11e91f96fe60422dde42c23b1652cb7d8f407a09f225ad595a1d</t>
        </is>
      </c>
      <c r="V36" s="181" t="inlineStr">
        <is>
          <t>02/07/2022</t>
        </is>
      </c>
    </row>
    <row r="37">
      <c r="A37" s="168" t="inlineStr">
        <is>
          <t>06AABCF5150G1ZZ</t>
        </is>
      </c>
      <c r="B37" s="168" t="inlineStr">
        <is>
          <t>FACEBOOK INDIA ONLINE SERVICES PRIVATE LIMITED</t>
        </is>
      </c>
      <c r="C37" s="168" t="inlineStr">
        <is>
          <t>ADS190-102036337</t>
        </is>
      </c>
      <c r="D37" s="168" t="inlineStr">
        <is>
          <t>Regular</t>
        </is>
      </c>
      <c r="E37" s="168" t="inlineStr">
        <is>
          <t>02/07/2022</t>
        </is>
      </c>
      <c r="F37" s="178" t="n">
        <v>1032.21</v>
      </c>
      <c r="G37" s="168" t="inlineStr">
        <is>
          <t>Gujarat</t>
        </is>
      </c>
      <c r="H37" s="179" t="inlineStr">
        <is>
          <t>No</t>
        </is>
      </c>
      <c r="I37" s="180" t="n">
        <v>18</v>
      </c>
      <c r="J37" s="178" t="n">
        <v>874.75</v>
      </c>
      <c r="K37" s="178" t="n">
        <v>157.46</v>
      </c>
      <c r="L37" s="178" t="n">
        <v>0</v>
      </c>
      <c r="M37" s="178" t="n">
        <v>0</v>
      </c>
      <c r="N37" s="178" t="n">
        <v>0</v>
      </c>
      <c r="O37" s="168" t="inlineStr">
        <is>
          <t>Jul'22</t>
        </is>
      </c>
      <c r="P37" s="168" t="inlineStr">
        <is>
          <t>10/08/2022</t>
        </is>
      </c>
      <c r="Q37" s="179" t="inlineStr">
        <is>
          <t>Yes</t>
        </is>
      </c>
      <c r="R37" s="168" t="inlineStr"/>
      <c r="S37" s="180" t="inlineStr">
        <is>
          <t>100%</t>
        </is>
      </c>
      <c r="T37" s="181" t="inlineStr">
        <is>
          <t>E-Invoice</t>
        </is>
      </c>
      <c r="U37" s="181" t="inlineStr">
        <is>
          <t>6a913141fd697bc2ef7a3c02b7008a9adc3f8c92fd64d284cef4e6827a93608f</t>
        </is>
      </c>
      <c r="V37" s="181" t="inlineStr">
        <is>
          <t>03/07/2022</t>
        </is>
      </c>
    </row>
    <row r="38">
      <c r="A38" s="168" t="inlineStr">
        <is>
          <t>06AABCF5150G1ZZ</t>
        </is>
      </c>
      <c r="B38" s="168" t="inlineStr">
        <is>
          <t>FACEBOOK INDIA ONLINE SERVICES PRIVATE LIMITED</t>
        </is>
      </c>
      <c r="C38" s="168" t="inlineStr">
        <is>
          <t>ADS190-102037672</t>
        </is>
      </c>
      <c r="D38" s="168" t="inlineStr">
        <is>
          <t>Regular</t>
        </is>
      </c>
      <c r="E38" s="168" t="inlineStr">
        <is>
          <t>03/07/2022</t>
        </is>
      </c>
      <c r="F38" s="178" t="n">
        <v>917.17</v>
      </c>
      <c r="G38" s="168" t="inlineStr">
        <is>
          <t>Gujarat</t>
        </is>
      </c>
      <c r="H38" s="179" t="inlineStr">
        <is>
          <t>No</t>
        </is>
      </c>
      <c r="I38" s="180" t="n">
        <v>18</v>
      </c>
      <c r="J38" s="178" t="n">
        <v>777.26</v>
      </c>
      <c r="K38" s="178" t="n">
        <v>139.91</v>
      </c>
      <c r="L38" s="178" t="n">
        <v>0</v>
      </c>
      <c r="M38" s="178" t="n">
        <v>0</v>
      </c>
      <c r="N38" s="178" t="n">
        <v>0</v>
      </c>
      <c r="O38" s="168" t="inlineStr">
        <is>
          <t>Jul'22</t>
        </is>
      </c>
      <c r="P38" s="168" t="inlineStr">
        <is>
          <t>10/08/2022</t>
        </is>
      </c>
      <c r="Q38" s="179" t="inlineStr">
        <is>
          <t>Yes</t>
        </is>
      </c>
      <c r="R38" s="168" t="inlineStr"/>
      <c r="S38" s="180" t="inlineStr">
        <is>
          <t>100%</t>
        </is>
      </c>
      <c r="T38" s="181" t="inlineStr">
        <is>
          <t>E-Invoice</t>
        </is>
      </c>
      <c r="U38" s="181" t="inlineStr">
        <is>
          <t>9ef7b367a3a4a32012fd1813acafc32feda9059156176c0329ea7842486e6277</t>
        </is>
      </c>
      <c r="V38" s="181" t="inlineStr">
        <is>
          <t>04/07/2022</t>
        </is>
      </c>
    </row>
    <row r="39">
      <c r="A39" s="168" t="inlineStr">
        <is>
          <t>06AABCF5150G1ZZ</t>
        </is>
      </c>
      <c r="B39" s="168" t="inlineStr">
        <is>
          <t>FACEBOOK INDIA ONLINE SERVICES PRIVATE LIMITED</t>
        </is>
      </c>
      <c r="C39" s="168" t="inlineStr">
        <is>
          <t>ADS190-102039166</t>
        </is>
      </c>
      <c r="D39" s="168" t="inlineStr">
        <is>
          <t>Regular</t>
        </is>
      </c>
      <c r="E39" s="168" t="inlineStr">
        <is>
          <t>04/07/2022</t>
        </is>
      </c>
      <c r="F39" s="178" t="n">
        <v>592.8099999999999</v>
      </c>
      <c r="G39" s="168" t="inlineStr">
        <is>
          <t>Gujarat</t>
        </is>
      </c>
      <c r="H39" s="179" t="inlineStr">
        <is>
          <t>No</t>
        </is>
      </c>
      <c r="I39" s="180" t="n">
        <v>18</v>
      </c>
      <c r="J39" s="178" t="n">
        <v>502.38</v>
      </c>
      <c r="K39" s="178" t="n">
        <v>90.43000000000001</v>
      </c>
      <c r="L39" s="178" t="n">
        <v>0</v>
      </c>
      <c r="M39" s="178" t="n">
        <v>0</v>
      </c>
      <c r="N39" s="178" t="n">
        <v>0</v>
      </c>
      <c r="O39" s="168" t="inlineStr">
        <is>
          <t>Jul'22</t>
        </is>
      </c>
      <c r="P39" s="168" t="inlineStr">
        <is>
          <t>10/08/2022</t>
        </is>
      </c>
      <c r="Q39" s="179" t="inlineStr">
        <is>
          <t>Yes</t>
        </is>
      </c>
      <c r="R39" s="168" t="inlineStr"/>
      <c r="S39" s="180" t="inlineStr">
        <is>
          <t>100%</t>
        </is>
      </c>
      <c r="T39" s="181" t="inlineStr">
        <is>
          <t>E-Invoice</t>
        </is>
      </c>
      <c r="U39" s="181" t="inlineStr">
        <is>
          <t>f33a92b1a19b2a682d33e83602162df932a156cb0d60054fba8f618cf8fcf291</t>
        </is>
      </c>
      <c r="V39" s="181" t="inlineStr">
        <is>
          <t>05/07/2022</t>
        </is>
      </c>
    </row>
    <row r="40">
      <c r="A40" s="168" t="inlineStr">
        <is>
          <t>06AABCF5150G1ZZ</t>
        </is>
      </c>
      <c r="B40" s="168" t="inlineStr">
        <is>
          <t>FACEBOOK INDIA ONLINE SERVICES PRIVATE LIMITED</t>
        </is>
      </c>
      <c r="C40" s="168" t="inlineStr">
        <is>
          <t>ADS190-102040722</t>
        </is>
      </c>
      <c r="D40" s="168" t="inlineStr">
        <is>
          <t>Regular</t>
        </is>
      </c>
      <c r="E40" s="168" t="inlineStr">
        <is>
          <t>05/07/2022</t>
        </is>
      </c>
      <c r="F40" s="178" t="n">
        <v>0.63</v>
      </c>
      <c r="G40" s="168" t="inlineStr">
        <is>
          <t>Gujarat</t>
        </is>
      </c>
      <c r="H40" s="179" t="inlineStr">
        <is>
          <t>No</t>
        </is>
      </c>
      <c r="I40" s="180" t="n">
        <v>18</v>
      </c>
      <c r="J40" s="178" t="n">
        <v>0.53</v>
      </c>
      <c r="K40" s="178" t="n">
        <v>0.1</v>
      </c>
      <c r="L40" s="178" t="n">
        <v>0</v>
      </c>
      <c r="M40" s="178" t="n">
        <v>0</v>
      </c>
      <c r="N40" s="178" t="n">
        <v>0</v>
      </c>
      <c r="O40" s="168" t="inlineStr">
        <is>
          <t>Jul'22</t>
        </is>
      </c>
      <c r="P40" s="168" t="inlineStr">
        <is>
          <t>10/08/2022</t>
        </is>
      </c>
      <c r="Q40" s="179" t="inlineStr">
        <is>
          <t>Yes</t>
        </is>
      </c>
      <c r="R40" s="168" t="inlineStr"/>
      <c r="S40" s="180" t="inlineStr">
        <is>
          <t>100%</t>
        </is>
      </c>
      <c r="T40" s="181" t="inlineStr">
        <is>
          <t>E-Invoice</t>
        </is>
      </c>
      <c r="U40" s="181" t="inlineStr">
        <is>
          <t>f9bec7f67fbb13c733a3a1ba53bfbe2f024df01121d2b89ef48c96d796de85a6</t>
        </is>
      </c>
      <c r="V40" s="181" t="inlineStr">
        <is>
          <t>06/07/2022</t>
        </is>
      </c>
    </row>
    <row r="41" hidden="1" customFormat="1" s="158">
      <c r="A41" s="167" t="inlineStr">
        <is>
          <t>24AABCF3670M1ZJ</t>
        </is>
      </c>
      <c r="B41" s="167" t="inlineStr">
        <is>
          <t>FUTURE SALES PRIVATE LIMITED</t>
        </is>
      </c>
      <c r="C41" s="167" t="inlineStr">
        <is>
          <t>2541/22-23</t>
        </is>
      </c>
      <c r="D41" s="168" t="inlineStr">
        <is>
          <t>Regular</t>
        </is>
      </c>
      <c r="E41" s="167" t="inlineStr">
        <is>
          <t>06/07/2022</t>
        </is>
      </c>
      <c r="F41" s="169" t="n">
        <v>13396</v>
      </c>
      <c r="G41" s="168" t="inlineStr">
        <is>
          <t>Gujarat</t>
        </is>
      </c>
      <c r="H41" s="170" t="inlineStr">
        <is>
          <t>No</t>
        </is>
      </c>
      <c r="I41" s="171" t="n">
        <v>18</v>
      </c>
      <c r="J41" s="169" t="n">
        <v>11352.4</v>
      </c>
      <c r="K41" s="169" t="n">
        <v>0</v>
      </c>
      <c r="L41" s="169" t="n">
        <v>1021.72</v>
      </c>
      <c r="M41" s="169" t="n">
        <v>1021.72</v>
      </c>
      <c r="N41" s="169" t="n">
        <v>0</v>
      </c>
      <c r="O41" s="167" t="inlineStr">
        <is>
          <t>Jul'22</t>
        </is>
      </c>
      <c r="P41" s="167" t="inlineStr">
        <is>
          <t>08/08/2022</t>
        </is>
      </c>
      <c r="Q41" s="170" t="inlineStr">
        <is>
          <t>Yes</t>
        </is>
      </c>
      <c r="R41" s="167" t="inlineStr"/>
      <c r="S41" s="171" t="inlineStr">
        <is>
          <t>100%</t>
        </is>
      </c>
      <c r="T41" s="172" t="inlineStr">
        <is>
          <t>E-Invoice</t>
        </is>
      </c>
      <c r="U41" s="172" t="inlineStr">
        <is>
          <t>f24637692bf265d4728f7967eac22a3aabfee7df213265dcfe318c141167a805</t>
        </is>
      </c>
      <c r="V41" s="172" t="inlineStr">
        <is>
          <t>06/07/2022</t>
        </is>
      </c>
    </row>
    <row r="42" hidden="1" customFormat="1" s="158">
      <c r="A42" s="167" t="inlineStr">
        <is>
          <t>24AABCF3670M1ZJ</t>
        </is>
      </c>
      <c r="B42" s="167" t="inlineStr">
        <is>
          <t>FUTURE SALES PRIVATE LIMITED</t>
        </is>
      </c>
      <c r="C42" s="167" t="inlineStr">
        <is>
          <t>2627/22-23</t>
        </is>
      </c>
      <c r="D42" s="168" t="inlineStr">
        <is>
          <t>Regular</t>
        </is>
      </c>
      <c r="E42" s="167" t="inlineStr">
        <is>
          <t>09/07/2022</t>
        </is>
      </c>
      <c r="F42" s="169" t="n">
        <v>16226</v>
      </c>
      <c r="G42" s="168" t="inlineStr">
        <is>
          <t>Gujarat</t>
        </is>
      </c>
      <c r="H42" s="170" t="inlineStr">
        <is>
          <t>No</t>
        </is>
      </c>
      <c r="I42" s="171" t="n">
        <v>18</v>
      </c>
      <c r="J42" s="169" t="n">
        <v>13750.8</v>
      </c>
      <c r="K42" s="169" t="n">
        <v>0</v>
      </c>
      <c r="L42" s="169" t="n">
        <v>1237.57</v>
      </c>
      <c r="M42" s="169" t="n">
        <v>1237.57</v>
      </c>
      <c r="N42" s="169" t="n">
        <v>0</v>
      </c>
      <c r="O42" s="167" t="inlineStr">
        <is>
          <t>Jul'22</t>
        </is>
      </c>
      <c r="P42" s="167" t="inlineStr">
        <is>
          <t>08/08/2022</t>
        </is>
      </c>
      <c r="Q42" s="170" t="inlineStr">
        <is>
          <t>Yes</t>
        </is>
      </c>
      <c r="R42" s="167" t="inlineStr"/>
      <c r="S42" s="171" t="inlineStr">
        <is>
          <t>100%</t>
        </is>
      </c>
      <c r="T42" s="172" t="inlineStr">
        <is>
          <t>E-Invoice</t>
        </is>
      </c>
      <c r="U42" s="172" t="inlineStr">
        <is>
          <t>a07c850d05dda81c7efe7f22e5c2c771d3656050a44098112e9941b0a99c7ad1</t>
        </is>
      </c>
      <c r="V42" s="172" t="inlineStr">
        <is>
          <t>09/07/2022</t>
        </is>
      </c>
    </row>
    <row r="43" hidden="1" customFormat="1" s="158">
      <c r="A43" s="167" t="inlineStr">
        <is>
          <t>24AABCF3670M1ZJ</t>
        </is>
      </c>
      <c r="B43" s="167" t="inlineStr">
        <is>
          <t>FUTURE SALES PRIVATE LIMITED</t>
        </is>
      </c>
      <c r="C43" s="167" t="inlineStr">
        <is>
          <t>2838/22-23</t>
        </is>
      </c>
      <c r="D43" s="168" t="inlineStr">
        <is>
          <t>Regular</t>
        </is>
      </c>
      <c r="E43" s="167" t="inlineStr">
        <is>
          <t>20/07/2022</t>
        </is>
      </c>
      <c r="F43" s="169" t="n">
        <v>26104</v>
      </c>
      <c r="G43" s="168" t="inlineStr">
        <is>
          <t>Gujarat</t>
        </is>
      </c>
      <c r="H43" s="170" t="inlineStr">
        <is>
          <t>No</t>
        </is>
      </c>
      <c r="I43" s="171" t="n">
        <v>18</v>
      </c>
      <c r="J43" s="169" t="n">
        <v>22122</v>
      </c>
      <c r="K43" s="169" t="n">
        <v>0</v>
      </c>
      <c r="L43" s="169" t="n">
        <v>1990.98</v>
      </c>
      <c r="M43" s="169" t="n">
        <v>1990.98</v>
      </c>
      <c r="N43" s="169" t="n">
        <v>0</v>
      </c>
      <c r="O43" s="167" t="inlineStr">
        <is>
          <t>Jul'22</t>
        </is>
      </c>
      <c r="P43" s="167" t="inlineStr">
        <is>
          <t>08/08/2022</t>
        </is>
      </c>
      <c r="Q43" s="170" t="inlineStr">
        <is>
          <t>Yes</t>
        </is>
      </c>
      <c r="R43" s="167" t="inlineStr"/>
      <c r="S43" s="171" t="inlineStr">
        <is>
          <t>100%</t>
        </is>
      </c>
      <c r="T43" s="172" t="inlineStr">
        <is>
          <t>E-Invoice</t>
        </is>
      </c>
      <c r="U43" s="172" t="inlineStr">
        <is>
          <t>f6bb2a2f8d0a93b4a1b2a792c9114ad38adb790fec63e5614af96cfb4d8bf514</t>
        </is>
      </c>
      <c r="V43" s="172" t="inlineStr">
        <is>
          <t>20/07/2022</t>
        </is>
      </c>
    </row>
    <row r="44" hidden="1" customFormat="1" s="162">
      <c r="A44" s="192" t="inlineStr">
        <is>
          <t>24AACFF3888R1ZQ</t>
        </is>
      </c>
      <c r="B44" s="192" t="inlineStr">
        <is>
          <t>FUTURE SOLUTIONS</t>
        </is>
      </c>
      <c r="C44" s="192" t="inlineStr">
        <is>
          <t>OT/22-23/114</t>
        </is>
      </c>
      <c r="D44" s="192" t="inlineStr">
        <is>
          <t>Regular</t>
        </is>
      </c>
      <c r="E44" s="192" t="inlineStr">
        <is>
          <t>05/07/2022</t>
        </is>
      </c>
      <c r="F44" s="193" t="n">
        <v>61600</v>
      </c>
      <c r="G44" s="192" t="inlineStr">
        <is>
          <t>Gujarat</t>
        </is>
      </c>
      <c r="H44" s="194" t="inlineStr">
        <is>
          <t>No</t>
        </is>
      </c>
      <c r="I44" s="195" t="n">
        <v>28</v>
      </c>
      <c r="J44" s="193" t="n">
        <v>48125</v>
      </c>
      <c r="K44" s="193" t="n">
        <v>0</v>
      </c>
      <c r="L44" s="193" t="n">
        <v>6737.5</v>
      </c>
      <c r="M44" s="193" t="n">
        <v>6737.5</v>
      </c>
      <c r="N44" s="193" t="n">
        <v>0</v>
      </c>
      <c r="O44" s="192" t="inlineStr">
        <is>
          <t>Jul'22</t>
        </is>
      </c>
      <c r="P44" s="192" t="inlineStr">
        <is>
          <t>09/08/2022</t>
        </is>
      </c>
      <c r="Q44" s="194" t="inlineStr">
        <is>
          <t>Yes</t>
        </is>
      </c>
      <c r="R44" s="192" t="inlineStr"/>
      <c r="S44" s="195" t="inlineStr">
        <is>
          <t>100%</t>
        </is>
      </c>
      <c r="T44" s="196" t="inlineStr"/>
      <c r="U44" s="196" t="inlineStr"/>
      <c r="V44" s="196" t="inlineStr"/>
    </row>
    <row r="45" hidden="1" customFormat="1" s="162">
      <c r="A45" s="192" t="inlineStr">
        <is>
          <t>24AACFF3888R1ZQ</t>
        </is>
      </c>
      <c r="B45" s="192" t="inlineStr">
        <is>
          <t>FUTURE SOLUTIONS</t>
        </is>
      </c>
      <c r="C45" s="192" t="inlineStr">
        <is>
          <t>PR/DN/22-23/86</t>
        </is>
      </c>
      <c r="D45" s="192" t="inlineStr">
        <is>
          <t>Regular</t>
        </is>
      </c>
      <c r="E45" s="192" t="inlineStr">
        <is>
          <t>05/07/2022</t>
        </is>
      </c>
      <c r="F45" s="193" t="n">
        <v>258985</v>
      </c>
      <c r="G45" s="192" t="inlineStr">
        <is>
          <t>Gujarat</t>
        </is>
      </c>
      <c r="H45" s="194" t="inlineStr">
        <is>
          <t>No</t>
        </is>
      </c>
      <c r="I45" s="195" t="n">
        <v>28</v>
      </c>
      <c r="J45" s="193" t="n">
        <v>202332</v>
      </c>
      <c r="K45" s="193" t="n">
        <v>0</v>
      </c>
      <c r="L45" s="193" t="n">
        <v>28326.48</v>
      </c>
      <c r="M45" s="193" t="n">
        <v>28326.48</v>
      </c>
      <c r="N45" s="193" t="n">
        <v>0</v>
      </c>
      <c r="O45" s="192" t="inlineStr">
        <is>
          <t>Jul'22</t>
        </is>
      </c>
      <c r="P45" s="192" t="inlineStr">
        <is>
          <t>09/08/2022</t>
        </is>
      </c>
      <c r="Q45" s="194" t="inlineStr">
        <is>
          <t>Yes</t>
        </is>
      </c>
      <c r="R45" s="192" t="inlineStr"/>
      <c r="S45" s="195" t="inlineStr">
        <is>
          <t>100%</t>
        </is>
      </c>
      <c r="T45" s="196" t="inlineStr"/>
      <c r="U45" s="196" t="inlineStr"/>
      <c r="V45" s="196" t="inlineStr"/>
    </row>
    <row r="46" hidden="1" customFormat="1" s="158">
      <c r="A46" s="167" t="inlineStr">
        <is>
          <t>24AADFG8128J1ZD</t>
        </is>
      </c>
      <c r="B46" s="167" t="inlineStr">
        <is>
          <t>GAYATRI SALES CORPORATION</t>
        </is>
      </c>
      <c r="C46" s="167" t="inlineStr">
        <is>
          <t>T/507</t>
        </is>
      </c>
      <c r="D46" s="168" t="inlineStr">
        <is>
          <t>Regular</t>
        </is>
      </c>
      <c r="E46" s="167" t="inlineStr">
        <is>
          <t>01/07/2022</t>
        </is>
      </c>
      <c r="F46" s="169" t="n">
        <v>4800</v>
      </c>
      <c r="G46" s="168" t="inlineStr">
        <is>
          <t>Gujarat</t>
        </is>
      </c>
      <c r="H46" s="170" t="inlineStr">
        <is>
          <t>No</t>
        </is>
      </c>
      <c r="I46" s="171" t="n">
        <v>5</v>
      </c>
      <c r="J46" s="169" t="n">
        <v>4571.42</v>
      </c>
      <c r="K46" s="169" t="n">
        <v>0</v>
      </c>
      <c r="L46" s="169" t="n">
        <v>114.29</v>
      </c>
      <c r="M46" s="169" t="n">
        <v>114.29</v>
      </c>
      <c r="N46" s="169" t="n">
        <v>0</v>
      </c>
      <c r="O46" s="167" t="inlineStr">
        <is>
          <t>Jul'22</t>
        </is>
      </c>
      <c r="P46" s="167" t="inlineStr">
        <is>
          <t>10/08/2022</t>
        </is>
      </c>
      <c r="Q46" s="170" t="inlineStr">
        <is>
          <t>Yes</t>
        </is>
      </c>
      <c r="R46" s="167" t="inlineStr"/>
      <c r="S46" s="171" t="inlineStr">
        <is>
          <t>100%</t>
        </is>
      </c>
      <c r="T46" s="172" t="inlineStr"/>
      <c r="U46" s="172" t="inlineStr"/>
      <c r="V46" s="172" t="inlineStr"/>
    </row>
    <row r="47" hidden="1" customFormat="1" s="158">
      <c r="A47" s="167" t="inlineStr">
        <is>
          <t>24AADFG8128J1ZD</t>
        </is>
      </c>
      <c r="B47" s="167" t="inlineStr">
        <is>
          <t>GAYATRI SALES CORPORATION</t>
        </is>
      </c>
      <c r="C47" s="167" t="inlineStr">
        <is>
          <t>T/523</t>
        </is>
      </c>
      <c r="D47" s="168" t="inlineStr">
        <is>
          <t>Regular</t>
        </is>
      </c>
      <c r="E47" s="167" t="inlineStr">
        <is>
          <t>03/07/2022</t>
        </is>
      </c>
      <c r="F47" s="169" t="n">
        <v>58830</v>
      </c>
      <c r="G47" s="168" t="inlineStr">
        <is>
          <t>Gujarat</t>
        </is>
      </c>
      <c r="H47" s="170" t="inlineStr">
        <is>
          <t>No</t>
        </is>
      </c>
      <c r="I47" s="171" t="n">
        <v>5</v>
      </c>
      <c r="J47" s="169" t="n">
        <v>952.38</v>
      </c>
      <c r="K47" s="169" t="n">
        <v>0</v>
      </c>
      <c r="L47" s="169" t="n">
        <v>23.81</v>
      </c>
      <c r="M47" s="169" t="n">
        <v>23.81</v>
      </c>
      <c r="N47" s="169" t="n">
        <v>0</v>
      </c>
      <c r="O47" s="167" t="inlineStr">
        <is>
          <t>Jul'22</t>
        </is>
      </c>
      <c r="P47" s="167" t="inlineStr">
        <is>
          <t>10/08/2022</t>
        </is>
      </c>
      <c r="Q47" s="170" t="inlineStr">
        <is>
          <t>Yes</t>
        </is>
      </c>
      <c r="R47" s="167" t="inlineStr"/>
      <c r="S47" s="171" t="inlineStr">
        <is>
          <t>100%</t>
        </is>
      </c>
      <c r="T47" s="172" t="inlineStr"/>
      <c r="U47" s="172" t="inlineStr"/>
      <c r="V47" s="172" t="inlineStr"/>
    </row>
    <row r="48" hidden="1" customFormat="1" s="158">
      <c r="A48" s="167" t="inlineStr">
        <is>
          <t>24AADFG8128J1ZD</t>
        </is>
      </c>
      <c r="B48" s="167" t="inlineStr">
        <is>
          <t>GAYATRI SALES CORPORATION</t>
        </is>
      </c>
      <c r="C48" s="167" t="inlineStr">
        <is>
          <t>T/523</t>
        </is>
      </c>
      <c r="D48" s="168" t="inlineStr">
        <is>
          <t>Regular</t>
        </is>
      </c>
      <c r="E48" s="167" t="inlineStr">
        <is>
          <t>03/07/2022</t>
        </is>
      </c>
      <c r="F48" s="169" t="n">
        <v>58830</v>
      </c>
      <c r="G48" s="168" t="inlineStr">
        <is>
          <t>Gujarat</t>
        </is>
      </c>
      <c r="H48" s="170" t="inlineStr">
        <is>
          <t>No</t>
        </is>
      </c>
      <c r="I48" s="171" t="n">
        <v>18</v>
      </c>
      <c r="J48" s="169" t="n">
        <v>48796.62</v>
      </c>
      <c r="K48" s="169" t="n">
        <v>0</v>
      </c>
      <c r="L48" s="169" t="n">
        <v>4391.7</v>
      </c>
      <c r="M48" s="169" t="n">
        <v>4391.7</v>
      </c>
      <c r="N48" s="169" t="n">
        <v>0</v>
      </c>
      <c r="O48" s="167" t="inlineStr">
        <is>
          <t>Jul'22</t>
        </is>
      </c>
      <c r="P48" s="167" t="inlineStr">
        <is>
          <t>10/08/2022</t>
        </is>
      </c>
      <c r="Q48" s="170" t="inlineStr">
        <is>
          <t>Yes</t>
        </is>
      </c>
      <c r="R48" s="167" t="inlineStr"/>
      <c r="S48" s="171" t="inlineStr">
        <is>
          <t>100%</t>
        </is>
      </c>
      <c r="T48" s="172" t="inlineStr"/>
      <c r="U48" s="172" t="inlineStr"/>
      <c r="V48" s="172" t="inlineStr"/>
    </row>
    <row r="49" hidden="1" customFormat="1" s="158">
      <c r="A49" s="167" t="inlineStr">
        <is>
          <t>24AADFG8128J1ZD</t>
        </is>
      </c>
      <c r="B49" s="167" t="inlineStr">
        <is>
          <t>GAYATRI SALES CORPORATION</t>
        </is>
      </c>
      <c r="C49" s="167" t="inlineStr">
        <is>
          <t>T/531</t>
        </is>
      </c>
      <c r="D49" s="168" t="inlineStr">
        <is>
          <t>Regular</t>
        </is>
      </c>
      <c r="E49" s="167" t="inlineStr">
        <is>
          <t>05/07/2022</t>
        </is>
      </c>
      <c r="F49" s="169" t="n">
        <v>12740</v>
      </c>
      <c r="G49" s="168" t="inlineStr">
        <is>
          <t>Gujarat</t>
        </is>
      </c>
      <c r="H49" s="170" t="inlineStr">
        <is>
          <t>No</t>
        </is>
      </c>
      <c r="I49" s="171" t="n">
        <v>18</v>
      </c>
      <c r="J49" s="169" t="n">
        <v>10584.74</v>
      </c>
      <c r="K49" s="169" t="n">
        <v>0</v>
      </c>
      <c r="L49" s="169" t="n">
        <v>952.63</v>
      </c>
      <c r="M49" s="169" t="n">
        <v>952.63</v>
      </c>
      <c r="N49" s="169" t="n">
        <v>0</v>
      </c>
      <c r="O49" s="167" t="inlineStr">
        <is>
          <t>Jul'22</t>
        </is>
      </c>
      <c r="P49" s="167" t="inlineStr">
        <is>
          <t>10/08/2022</t>
        </is>
      </c>
      <c r="Q49" s="170" t="inlineStr">
        <is>
          <t>Yes</t>
        </is>
      </c>
      <c r="R49" s="167" t="inlineStr"/>
      <c r="S49" s="171" t="inlineStr">
        <is>
          <t>100%</t>
        </is>
      </c>
      <c r="T49" s="172" t="inlineStr"/>
      <c r="U49" s="172" t="inlineStr"/>
      <c r="V49" s="172" t="inlineStr"/>
    </row>
    <row r="50" hidden="1" customFormat="1" s="158">
      <c r="A50" s="167" t="inlineStr">
        <is>
          <t>24AADFG8128J1ZD</t>
        </is>
      </c>
      <c r="B50" s="167" t="inlineStr">
        <is>
          <t>GAYATRI SALES CORPORATION</t>
        </is>
      </c>
      <c r="C50" s="167" t="inlineStr">
        <is>
          <t>T/535</t>
        </is>
      </c>
      <c r="D50" s="168" t="inlineStr">
        <is>
          <t>Regular</t>
        </is>
      </c>
      <c r="E50" s="167" t="inlineStr">
        <is>
          <t>05/07/2022</t>
        </is>
      </c>
      <c r="F50" s="169" t="n">
        <v>41900</v>
      </c>
      <c r="G50" s="168" t="inlineStr">
        <is>
          <t>Gujarat</t>
        </is>
      </c>
      <c r="H50" s="170" t="inlineStr">
        <is>
          <t>No</t>
        </is>
      </c>
      <c r="I50" s="171" t="n">
        <v>18</v>
      </c>
      <c r="J50" s="169" t="n">
        <v>35296.62</v>
      </c>
      <c r="K50" s="169" t="n">
        <v>0</v>
      </c>
      <c r="L50" s="169" t="n">
        <v>3176.7</v>
      </c>
      <c r="M50" s="169" t="n">
        <v>3176.7</v>
      </c>
      <c r="N50" s="169" t="n">
        <v>0</v>
      </c>
      <c r="O50" s="167" t="inlineStr">
        <is>
          <t>Jul'22</t>
        </is>
      </c>
      <c r="P50" s="167" t="inlineStr">
        <is>
          <t>10/08/2022</t>
        </is>
      </c>
      <c r="Q50" s="170" t="inlineStr">
        <is>
          <t>Yes</t>
        </is>
      </c>
      <c r="R50" s="167" t="inlineStr"/>
      <c r="S50" s="171" t="inlineStr">
        <is>
          <t>100%</t>
        </is>
      </c>
      <c r="T50" s="172" t="inlineStr"/>
      <c r="U50" s="172" t="inlineStr"/>
      <c r="V50" s="172" t="inlineStr"/>
    </row>
    <row r="51" hidden="1" customFormat="1" s="158">
      <c r="A51" s="167" t="inlineStr">
        <is>
          <t>24AADFG8128J1ZD</t>
        </is>
      </c>
      <c r="B51" s="167" t="inlineStr">
        <is>
          <t>GAYATRI SALES CORPORATION</t>
        </is>
      </c>
      <c r="C51" s="167" t="inlineStr">
        <is>
          <t>T/536</t>
        </is>
      </c>
      <c r="D51" s="168" t="inlineStr">
        <is>
          <t>Regular</t>
        </is>
      </c>
      <c r="E51" s="167" t="inlineStr">
        <is>
          <t>05/07/2022</t>
        </is>
      </c>
      <c r="F51" s="169" t="n">
        <v>3840</v>
      </c>
      <c r="G51" s="168" t="inlineStr">
        <is>
          <t>Gujarat</t>
        </is>
      </c>
      <c r="H51" s="170" t="inlineStr">
        <is>
          <t>No</t>
        </is>
      </c>
      <c r="I51" s="171" t="n">
        <v>18</v>
      </c>
      <c r="J51" s="169" t="n">
        <v>3254.24</v>
      </c>
      <c r="K51" s="169" t="n">
        <v>0</v>
      </c>
      <c r="L51" s="169" t="n">
        <v>292.88</v>
      </c>
      <c r="M51" s="169" t="n">
        <v>292.88</v>
      </c>
      <c r="N51" s="169" t="n">
        <v>0</v>
      </c>
      <c r="O51" s="167" t="inlineStr">
        <is>
          <t>Jul'22</t>
        </is>
      </c>
      <c r="P51" s="167" t="inlineStr">
        <is>
          <t>10/08/2022</t>
        </is>
      </c>
      <c r="Q51" s="170" t="inlineStr">
        <is>
          <t>Yes</t>
        </is>
      </c>
      <c r="R51" s="167" t="inlineStr"/>
      <c r="S51" s="171" t="inlineStr">
        <is>
          <t>100%</t>
        </is>
      </c>
      <c r="T51" s="172" t="inlineStr"/>
      <c r="U51" s="172" t="inlineStr"/>
      <c r="V51" s="172" t="inlineStr"/>
    </row>
    <row r="52" hidden="1" customFormat="1" s="158">
      <c r="A52" s="167" t="inlineStr">
        <is>
          <t>24AADFG8128J1ZD</t>
        </is>
      </c>
      <c r="B52" s="167" t="inlineStr">
        <is>
          <t>GAYATRI SALES CORPORATION</t>
        </is>
      </c>
      <c r="C52" s="167" t="inlineStr">
        <is>
          <t>T/537</t>
        </is>
      </c>
      <c r="D52" s="168" t="inlineStr">
        <is>
          <t>Regular</t>
        </is>
      </c>
      <c r="E52" s="167" t="inlineStr">
        <is>
          <t>05/07/2022</t>
        </is>
      </c>
      <c r="F52" s="169" t="n">
        <v>28120</v>
      </c>
      <c r="G52" s="168" t="inlineStr">
        <is>
          <t>Gujarat</t>
        </is>
      </c>
      <c r="H52" s="170" t="inlineStr">
        <is>
          <t>No</t>
        </is>
      </c>
      <c r="I52" s="171" t="n">
        <v>18</v>
      </c>
      <c r="J52" s="169" t="n">
        <v>23618.64</v>
      </c>
      <c r="K52" s="169" t="n">
        <v>0</v>
      </c>
      <c r="L52" s="169" t="n">
        <v>2125.68</v>
      </c>
      <c r="M52" s="169" t="n">
        <v>2125.68</v>
      </c>
      <c r="N52" s="169" t="n">
        <v>0</v>
      </c>
      <c r="O52" s="167" t="inlineStr">
        <is>
          <t>Jul'22</t>
        </is>
      </c>
      <c r="P52" s="167" t="inlineStr">
        <is>
          <t>10/08/2022</t>
        </is>
      </c>
      <c r="Q52" s="170" t="inlineStr">
        <is>
          <t>Yes</t>
        </is>
      </c>
      <c r="R52" s="167" t="inlineStr"/>
      <c r="S52" s="171" t="inlineStr">
        <is>
          <t>100%</t>
        </is>
      </c>
      <c r="T52" s="172" t="inlineStr"/>
      <c r="U52" s="172" t="inlineStr"/>
      <c r="V52" s="172" t="inlineStr"/>
    </row>
    <row r="53" hidden="1" customFormat="1" s="158">
      <c r="A53" s="167" t="inlineStr">
        <is>
          <t>24AADFG8128J1ZD</t>
        </is>
      </c>
      <c r="B53" s="167" t="inlineStr">
        <is>
          <t>GAYATRI SALES CORPORATION</t>
        </is>
      </c>
      <c r="C53" s="167" t="inlineStr">
        <is>
          <t>T/557</t>
        </is>
      </c>
      <c r="D53" s="168" t="inlineStr">
        <is>
          <t>Regular</t>
        </is>
      </c>
      <c r="E53" s="167" t="inlineStr">
        <is>
          <t>09/07/2022</t>
        </is>
      </c>
      <c r="F53" s="169" t="n">
        <v>39350</v>
      </c>
      <c r="G53" s="168" t="inlineStr">
        <is>
          <t>Gujarat</t>
        </is>
      </c>
      <c r="H53" s="170" t="inlineStr">
        <is>
          <t>No</t>
        </is>
      </c>
      <c r="I53" s="171" t="n">
        <v>18</v>
      </c>
      <c r="J53" s="169" t="n">
        <v>33135.6</v>
      </c>
      <c r="K53" s="169" t="n">
        <v>0</v>
      </c>
      <c r="L53" s="169" t="n">
        <v>2982.2</v>
      </c>
      <c r="M53" s="169" t="n">
        <v>2982.2</v>
      </c>
      <c r="N53" s="169" t="n">
        <v>0</v>
      </c>
      <c r="O53" s="167" t="inlineStr">
        <is>
          <t>Jul'22</t>
        </is>
      </c>
      <c r="P53" s="167" t="inlineStr">
        <is>
          <t>10/08/2022</t>
        </is>
      </c>
      <c r="Q53" s="170" t="inlineStr">
        <is>
          <t>Yes</t>
        </is>
      </c>
      <c r="R53" s="167" t="inlineStr"/>
      <c r="S53" s="171" t="inlineStr">
        <is>
          <t>100%</t>
        </is>
      </c>
      <c r="T53" s="172" t="inlineStr"/>
      <c r="U53" s="172" t="inlineStr"/>
      <c r="V53" s="172" t="inlineStr"/>
    </row>
    <row r="54" hidden="1" customFormat="1" s="158">
      <c r="A54" s="167" t="inlineStr">
        <is>
          <t>24AADFG8128J1ZD</t>
        </is>
      </c>
      <c r="B54" s="167" t="inlineStr">
        <is>
          <t>GAYATRI SALES CORPORATION</t>
        </is>
      </c>
      <c r="C54" s="167" t="inlineStr">
        <is>
          <t>T/558</t>
        </is>
      </c>
      <c r="D54" s="168" t="inlineStr">
        <is>
          <t>Regular</t>
        </is>
      </c>
      <c r="E54" s="167" t="inlineStr">
        <is>
          <t>09/07/2022</t>
        </is>
      </c>
      <c r="F54" s="169" t="n">
        <v>7400</v>
      </c>
      <c r="G54" s="168" t="inlineStr">
        <is>
          <t>Gujarat</t>
        </is>
      </c>
      <c r="H54" s="170" t="inlineStr">
        <is>
          <t>No</t>
        </is>
      </c>
      <c r="I54" s="171" t="n">
        <v>5</v>
      </c>
      <c r="J54" s="169" t="n">
        <v>571.42</v>
      </c>
      <c r="K54" s="169" t="n">
        <v>0</v>
      </c>
      <c r="L54" s="169" t="n">
        <v>14.29</v>
      </c>
      <c r="M54" s="169" t="n">
        <v>14.29</v>
      </c>
      <c r="N54" s="169" t="n">
        <v>0</v>
      </c>
      <c r="O54" s="167" t="inlineStr">
        <is>
          <t>Jul'22</t>
        </is>
      </c>
      <c r="P54" s="167" t="inlineStr">
        <is>
          <t>10/08/2022</t>
        </is>
      </c>
      <c r="Q54" s="170" t="inlineStr">
        <is>
          <t>Yes</t>
        </is>
      </c>
      <c r="R54" s="167" t="inlineStr"/>
      <c r="S54" s="171" t="inlineStr">
        <is>
          <t>100%</t>
        </is>
      </c>
      <c r="T54" s="172" t="inlineStr"/>
      <c r="U54" s="172" t="inlineStr"/>
      <c r="V54" s="172" t="inlineStr"/>
    </row>
    <row r="55" hidden="1" customFormat="1" s="158">
      <c r="A55" s="167" t="inlineStr">
        <is>
          <t>24AADFG8128J1ZD</t>
        </is>
      </c>
      <c r="B55" s="167" t="inlineStr">
        <is>
          <t>GAYATRI SALES CORPORATION</t>
        </is>
      </c>
      <c r="C55" s="167" t="inlineStr">
        <is>
          <t>T/558</t>
        </is>
      </c>
      <c r="D55" s="168" t="inlineStr">
        <is>
          <t>Regular</t>
        </is>
      </c>
      <c r="E55" s="167" t="inlineStr">
        <is>
          <t>09/07/2022</t>
        </is>
      </c>
      <c r="F55" s="169" t="n">
        <v>7400</v>
      </c>
      <c r="G55" s="168" t="inlineStr">
        <is>
          <t>Gujarat</t>
        </is>
      </c>
      <c r="H55" s="170" t="inlineStr">
        <is>
          <t>No</t>
        </is>
      </c>
      <c r="I55" s="171" t="n">
        <v>18</v>
      </c>
      <c r="J55" s="169" t="n">
        <v>5762.72</v>
      </c>
      <c r="K55" s="169" t="n">
        <v>0</v>
      </c>
      <c r="L55" s="169" t="n">
        <v>518.64</v>
      </c>
      <c r="M55" s="169" t="n">
        <v>518.64</v>
      </c>
      <c r="N55" s="169" t="n">
        <v>0</v>
      </c>
      <c r="O55" s="167" t="inlineStr">
        <is>
          <t>Jul'22</t>
        </is>
      </c>
      <c r="P55" s="167" t="inlineStr">
        <is>
          <t>10/08/2022</t>
        </is>
      </c>
      <c r="Q55" s="170" t="inlineStr">
        <is>
          <t>Yes</t>
        </is>
      </c>
      <c r="R55" s="167" t="inlineStr"/>
      <c r="S55" s="171" t="inlineStr">
        <is>
          <t>100%</t>
        </is>
      </c>
      <c r="T55" s="172" t="inlineStr"/>
      <c r="U55" s="172" t="inlineStr"/>
      <c r="V55" s="172" t="inlineStr"/>
    </row>
    <row r="56" hidden="1" customFormat="1" s="158">
      <c r="A56" s="167" t="inlineStr">
        <is>
          <t>24AADFG8128J1ZD</t>
        </is>
      </c>
      <c r="B56" s="167" t="inlineStr">
        <is>
          <t>GAYATRI SALES CORPORATION</t>
        </is>
      </c>
      <c r="C56" s="167" t="inlineStr">
        <is>
          <t>T/572</t>
        </is>
      </c>
      <c r="D56" s="168" t="inlineStr">
        <is>
          <t>Regular</t>
        </is>
      </c>
      <c r="E56" s="167" t="inlineStr">
        <is>
          <t>13/07/2022</t>
        </is>
      </c>
      <c r="F56" s="169" t="n">
        <v>39020</v>
      </c>
      <c r="G56" s="168" t="inlineStr">
        <is>
          <t>Gujarat</t>
        </is>
      </c>
      <c r="H56" s="170" t="inlineStr">
        <is>
          <t>No</t>
        </is>
      </c>
      <c r="I56" s="171" t="n">
        <v>18</v>
      </c>
      <c r="J56" s="169" t="n">
        <v>32855.94</v>
      </c>
      <c r="K56" s="169" t="n">
        <v>0</v>
      </c>
      <c r="L56" s="169" t="n">
        <v>2957.03</v>
      </c>
      <c r="M56" s="169" t="n">
        <v>2957.03</v>
      </c>
      <c r="N56" s="169" t="n">
        <v>0</v>
      </c>
      <c r="O56" s="167" t="inlineStr">
        <is>
          <t>Jul'22</t>
        </is>
      </c>
      <c r="P56" s="167" t="inlineStr">
        <is>
          <t>10/08/2022</t>
        </is>
      </c>
      <c r="Q56" s="170" t="inlineStr">
        <is>
          <t>Yes</t>
        </is>
      </c>
      <c r="R56" s="167" t="inlineStr"/>
      <c r="S56" s="171" t="inlineStr">
        <is>
          <t>100%</t>
        </is>
      </c>
      <c r="T56" s="172" t="inlineStr"/>
      <c r="U56" s="172" t="inlineStr"/>
      <c r="V56" s="172" t="inlineStr"/>
    </row>
    <row r="57" hidden="1" customFormat="1" s="158">
      <c r="A57" s="167" t="inlineStr">
        <is>
          <t>24AADFG8128J1ZD</t>
        </is>
      </c>
      <c r="B57" s="167" t="inlineStr">
        <is>
          <t>GAYATRI SALES CORPORATION</t>
        </is>
      </c>
      <c r="C57" s="167" t="inlineStr">
        <is>
          <t>T/573</t>
        </is>
      </c>
      <c r="D57" s="168" t="inlineStr">
        <is>
          <t>Regular</t>
        </is>
      </c>
      <c r="E57" s="167" t="inlineStr">
        <is>
          <t>13/07/2022</t>
        </is>
      </c>
      <c r="F57" s="169" t="n">
        <v>47930</v>
      </c>
      <c r="G57" s="168" t="inlineStr">
        <is>
          <t>Gujarat</t>
        </is>
      </c>
      <c r="H57" s="170" t="inlineStr">
        <is>
          <t>No</t>
        </is>
      </c>
      <c r="I57" s="171" t="n">
        <v>18</v>
      </c>
      <c r="J57" s="169" t="n">
        <v>40406.78</v>
      </c>
      <c r="K57" s="169" t="n">
        <v>0</v>
      </c>
      <c r="L57" s="169" t="n">
        <v>3636.61</v>
      </c>
      <c r="M57" s="169" t="n">
        <v>3636.61</v>
      </c>
      <c r="N57" s="169" t="n">
        <v>0</v>
      </c>
      <c r="O57" s="167" t="inlineStr">
        <is>
          <t>Jul'22</t>
        </is>
      </c>
      <c r="P57" s="167" t="inlineStr">
        <is>
          <t>10/08/2022</t>
        </is>
      </c>
      <c r="Q57" s="170" t="inlineStr">
        <is>
          <t>Yes</t>
        </is>
      </c>
      <c r="R57" s="167" t="inlineStr"/>
      <c r="S57" s="171" t="inlineStr">
        <is>
          <t>100%</t>
        </is>
      </c>
      <c r="T57" s="172" t="inlineStr"/>
      <c r="U57" s="172" t="inlineStr"/>
      <c r="V57" s="172" t="inlineStr"/>
    </row>
    <row r="58" hidden="1" customFormat="1" s="158">
      <c r="A58" s="167" t="inlineStr">
        <is>
          <t>24AADFG8128J1ZD</t>
        </is>
      </c>
      <c r="B58" s="167" t="inlineStr">
        <is>
          <t>GAYATRI SALES CORPORATION</t>
        </is>
      </c>
      <c r="C58" s="167" t="inlineStr">
        <is>
          <t>T/574</t>
        </is>
      </c>
      <c r="D58" s="168" t="inlineStr">
        <is>
          <t>Regular</t>
        </is>
      </c>
      <c r="E58" s="167" t="inlineStr">
        <is>
          <t>13/07/2022</t>
        </is>
      </c>
      <c r="F58" s="169" t="n">
        <v>3200</v>
      </c>
      <c r="G58" s="168" t="inlineStr">
        <is>
          <t>Gujarat</t>
        </is>
      </c>
      <c r="H58" s="170" t="inlineStr">
        <is>
          <t>No</t>
        </is>
      </c>
      <c r="I58" s="171" t="n">
        <v>5</v>
      </c>
      <c r="J58" s="169" t="n">
        <v>3047.62</v>
      </c>
      <c r="K58" s="169" t="n">
        <v>0</v>
      </c>
      <c r="L58" s="169" t="n">
        <v>76.19</v>
      </c>
      <c r="M58" s="169" t="n">
        <v>76.19</v>
      </c>
      <c r="N58" s="169" t="n">
        <v>0</v>
      </c>
      <c r="O58" s="167" t="inlineStr">
        <is>
          <t>Jul'22</t>
        </is>
      </c>
      <c r="P58" s="167" t="inlineStr">
        <is>
          <t>10/08/2022</t>
        </is>
      </c>
      <c r="Q58" s="170" t="inlineStr">
        <is>
          <t>Yes</t>
        </is>
      </c>
      <c r="R58" s="167" t="inlineStr"/>
      <c r="S58" s="171" t="inlineStr">
        <is>
          <t>100%</t>
        </is>
      </c>
      <c r="T58" s="172" t="inlineStr"/>
      <c r="U58" s="172" t="inlineStr"/>
      <c r="V58" s="172" t="inlineStr"/>
    </row>
    <row r="59" hidden="1" customFormat="1" s="158">
      <c r="A59" s="167" t="inlineStr">
        <is>
          <t>24AADFG8128J1ZD</t>
        </is>
      </c>
      <c r="B59" s="167" t="inlineStr">
        <is>
          <t>GAYATRI SALES CORPORATION</t>
        </is>
      </c>
      <c r="C59" s="167" t="inlineStr">
        <is>
          <t>T/585</t>
        </is>
      </c>
      <c r="D59" s="168" t="inlineStr">
        <is>
          <t>Regular</t>
        </is>
      </c>
      <c r="E59" s="167" t="inlineStr">
        <is>
          <t>16/07/2022</t>
        </is>
      </c>
      <c r="F59" s="169" t="n">
        <v>29980</v>
      </c>
      <c r="G59" s="168" t="inlineStr">
        <is>
          <t>Gujarat</t>
        </is>
      </c>
      <c r="H59" s="170" t="inlineStr">
        <is>
          <t>No</t>
        </is>
      </c>
      <c r="I59" s="171" t="n">
        <v>5</v>
      </c>
      <c r="J59" s="169" t="n">
        <v>857.14</v>
      </c>
      <c r="K59" s="169" t="n">
        <v>0</v>
      </c>
      <c r="L59" s="169" t="n">
        <v>21.43</v>
      </c>
      <c r="M59" s="169" t="n">
        <v>21.43</v>
      </c>
      <c r="N59" s="169" t="n">
        <v>0</v>
      </c>
      <c r="O59" s="167" t="inlineStr">
        <is>
          <t>Jul'22</t>
        </is>
      </c>
      <c r="P59" s="167" t="inlineStr">
        <is>
          <t>10/08/2022</t>
        </is>
      </c>
      <c r="Q59" s="170" t="inlineStr">
        <is>
          <t>Yes</t>
        </is>
      </c>
      <c r="R59" s="167" t="inlineStr"/>
      <c r="S59" s="171" t="inlineStr">
        <is>
          <t>100%</t>
        </is>
      </c>
      <c r="T59" s="172" t="inlineStr"/>
      <c r="U59" s="172" t="inlineStr"/>
      <c r="V59" s="172" t="inlineStr"/>
    </row>
    <row r="60" hidden="1" customFormat="1" s="158">
      <c r="A60" s="167" t="inlineStr">
        <is>
          <t>24AADFG8128J1ZD</t>
        </is>
      </c>
      <c r="B60" s="167" t="inlineStr">
        <is>
          <t>GAYATRI SALES CORPORATION</t>
        </is>
      </c>
      <c r="C60" s="167" t="inlineStr">
        <is>
          <t>T/585</t>
        </is>
      </c>
      <c r="D60" s="168" t="inlineStr">
        <is>
          <t>Regular</t>
        </is>
      </c>
      <c r="E60" s="167" t="inlineStr">
        <is>
          <t>16/07/2022</t>
        </is>
      </c>
      <c r="F60" s="169" t="n">
        <v>29980</v>
      </c>
      <c r="G60" s="168" t="inlineStr">
        <is>
          <t>Gujarat</t>
        </is>
      </c>
      <c r="H60" s="170" t="inlineStr">
        <is>
          <t>No</t>
        </is>
      </c>
      <c r="I60" s="171" t="n">
        <v>18</v>
      </c>
      <c r="J60" s="169" t="n">
        <v>24432.2</v>
      </c>
      <c r="K60" s="169" t="n">
        <v>0</v>
      </c>
      <c r="L60" s="169" t="n">
        <v>2198.9</v>
      </c>
      <c r="M60" s="169" t="n">
        <v>2198.9</v>
      </c>
      <c r="N60" s="169" t="n">
        <v>0</v>
      </c>
      <c r="O60" s="167" t="inlineStr">
        <is>
          <t>Jul'22</t>
        </is>
      </c>
      <c r="P60" s="167" t="inlineStr">
        <is>
          <t>10/08/2022</t>
        </is>
      </c>
      <c r="Q60" s="170" t="inlineStr">
        <is>
          <t>Yes</t>
        </is>
      </c>
      <c r="R60" s="167" t="inlineStr"/>
      <c r="S60" s="171" t="inlineStr">
        <is>
          <t>100%</t>
        </is>
      </c>
      <c r="T60" s="172" t="inlineStr"/>
      <c r="U60" s="172" t="inlineStr"/>
      <c r="V60" s="172" t="inlineStr"/>
    </row>
    <row r="61" hidden="1" customFormat="1" s="158">
      <c r="A61" s="167" t="inlineStr">
        <is>
          <t>24AADFG8128J1ZD</t>
        </is>
      </c>
      <c r="B61" s="167" t="inlineStr">
        <is>
          <t>GAYATRI SALES CORPORATION</t>
        </is>
      </c>
      <c r="C61" s="167" t="inlineStr">
        <is>
          <t>T/594</t>
        </is>
      </c>
      <c r="D61" s="168" t="inlineStr">
        <is>
          <t>Regular</t>
        </is>
      </c>
      <c r="E61" s="167" t="inlineStr">
        <is>
          <t>19/07/2022</t>
        </is>
      </c>
      <c r="F61" s="169" t="n">
        <v>21240</v>
      </c>
      <c r="G61" s="168" t="inlineStr">
        <is>
          <t>Gujarat</t>
        </is>
      </c>
      <c r="H61" s="170" t="inlineStr">
        <is>
          <t>No</t>
        </is>
      </c>
      <c r="I61" s="171" t="n">
        <v>18</v>
      </c>
      <c r="J61" s="169" t="n">
        <v>17788.14</v>
      </c>
      <c r="K61" s="169" t="n">
        <v>0</v>
      </c>
      <c r="L61" s="169" t="n">
        <v>1600.93</v>
      </c>
      <c r="M61" s="169" t="n">
        <v>1600.93</v>
      </c>
      <c r="N61" s="169" t="n">
        <v>0</v>
      </c>
      <c r="O61" s="167" t="inlineStr">
        <is>
          <t>Jul'22</t>
        </is>
      </c>
      <c r="P61" s="167" t="inlineStr">
        <is>
          <t>10/08/2022</t>
        </is>
      </c>
      <c r="Q61" s="170" t="inlineStr">
        <is>
          <t>Yes</t>
        </is>
      </c>
      <c r="R61" s="167" t="inlineStr"/>
      <c r="S61" s="171" t="inlineStr">
        <is>
          <t>100%</t>
        </is>
      </c>
      <c r="T61" s="172" t="inlineStr"/>
      <c r="U61" s="172" t="inlineStr"/>
      <c r="V61" s="172" t="inlineStr"/>
    </row>
    <row r="62" hidden="1" customFormat="1" s="158">
      <c r="A62" s="167" t="inlineStr">
        <is>
          <t>24AADFG8128J1ZD</t>
        </is>
      </c>
      <c r="B62" s="167" t="inlineStr">
        <is>
          <t>GAYATRI SALES CORPORATION</t>
        </is>
      </c>
      <c r="C62" s="167" t="inlineStr">
        <is>
          <t>T/604</t>
        </is>
      </c>
      <c r="D62" s="168" t="inlineStr">
        <is>
          <t>Regular</t>
        </is>
      </c>
      <c r="E62" s="167" t="inlineStr">
        <is>
          <t>21/07/2022</t>
        </is>
      </c>
      <c r="F62" s="169" t="n">
        <v>35120</v>
      </c>
      <c r="G62" s="168" t="inlineStr">
        <is>
          <t>Gujarat</t>
        </is>
      </c>
      <c r="H62" s="170" t="inlineStr">
        <is>
          <t>No</t>
        </is>
      </c>
      <c r="I62" s="171" t="n">
        <v>5</v>
      </c>
      <c r="J62" s="169" t="n">
        <v>952.38</v>
      </c>
      <c r="K62" s="169" t="n">
        <v>0</v>
      </c>
      <c r="L62" s="169" t="n">
        <v>23.81</v>
      </c>
      <c r="M62" s="169" t="n">
        <v>23.81</v>
      </c>
      <c r="N62" s="169" t="n">
        <v>0</v>
      </c>
      <c r="O62" s="167" t="inlineStr">
        <is>
          <t>Jul'22</t>
        </is>
      </c>
      <c r="P62" s="167" t="inlineStr">
        <is>
          <t>10/08/2022</t>
        </is>
      </c>
      <c r="Q62" s="170" t="inlineStr">
        <is>
          <t>Yes</t>
        </is>
      </c>
      <c r="R62" s="167" t="inlineStr"/>
      <c r="S62" s="171" t="inlineStr">
        <is>
          <t>100%</t>
        </is>
      </c>
      <c r="T62" s="172" t="inlineStr"/>
      <c r="U62" s="172" t="inlineStr"/>
      <c r="V62" s="172" t="inlineStr"/>
    </row>
    <row r="63" hidden="1" customFormat="1" s="158">
      <c r="A63" s="167" t="inlineStr">
        <is>
          <t>24AADFG8128J1ZD</t>
        </is>
      </c>
      <c r="B63" s="167" t="inlineStr">
        <is>
          <t>GAYATRI SALES CORPORATION</t>
        </is>
      </c>
      <c r="C63" s="167" t="inlineStr">
        <is>
          <t>T/604</t>
        </is>
      </c>
      <c r="D63" s="168" t="inlineStr">
        <is>
          <t>Regular</t>
        </is>
      </c>
      <c r="E63" s="167" t="inlineStr">
        <is>
          <t>21/07/2022</t>
        </is>
      </c>
      <c r="F63" s="169" t="n">
        <v>35120</v>
      </c>
      <c r="G63" s="168" t="inlineStr">
        <is>
          <t>Gujarat</t>
        </is>
      </c>
      <c r="H63" s="170" t="inlineStr">
        <is>
          <t>No</t>
        </is>
      </c>
      <c r="I63" s="171" t="n">
        <v>18</v>
      </c>
      <c r="J63" s="169" t="n">
        <v>28703.38</v>
      </c>
      <c r="K63" s="169" t="n">
        <v>0</v>
      </c>
      <c r="L63" s="169" t="n">
        <v>2583.3</v>
      </c>
      <c r="M63" s="169" t="n">
        <v>2583.3</v>
      </c>
      <c r="N63" s="169" t="n">
        <v>0</v>
      </c>
      <c r="O63" s="167" t="inlineStr">
        <is>
          <t>Jul'22</t>
        </is>
      </c>
      <c r="P63" s="167" t="inlineStr">
        <is>
          <t>10/08/2022</t>
        </is>
      </c>
      <c r="Q63" s="170" t="inlineStr">
        <is>
          <t>Yes</t>
        </is>
      </c>
      <c r="R63" s="167" t="inlineStr"/>
      <c r="S63" s="171" t="inlineStr">
        <is>
          <t>100%</t>
        </is>
      </c>
      <c r="T63" s="172" t="inlineStr"/>
      <c r="U63" s="172" t="inlineStr"/>
      <c r="V63" s="172" t="inlineStr"/>
    </row>
    <row r="64" hidden="1" customFormat="1" s="158">
      <c r="A64" s="167" t="inlineStr">
        <is>
          <t>24AADFG8128J1ZD</t>
        </is>
      </c>
      <c r="B64" s="167" t="inlineStr">
        <is>
          <t>GAYATRI SALES CORPORATION</t>
        </is>
      </c>
      <c r="C64" s="167" t="inlineStr">
        <is>
          <t>T/618</t>
        </is>
      </c>
      <c r="D64" s="168" t="inlineStr">
        <is>
          <t>Regular</t>
        </is>
      </c>
      <c r="E64" s="167" t="inlineStr">
        <is>
          <t>25/07/2022</t>
        </is>
      </c>
      <c r="F64" s="169" t="n">
        <v>16910</v>
      </c>
      <c r="G64" s="168" t="inlineStr">
        <is>
          <t>Gujarat</t>
        </is>
      </c>
      <c r="H64" s="170" t="inlineStr">
        <is>
          <t>No</t>
        </is>
      </c>
      <c r="I64" s="171" t="n">
        <v>18</v>
      </c>
      <c r="J64" s="169" t="n">
        <v>14118.64</v>
      </c>
      <c r="K64" s="169" t="n">
        <v>0</v>
      </c>
      <c r="L64" s="169" t="n">
        <v>1270.68</v>
      </c>
      <c r="M64" s="169" t="n">
        <v>1270.68</v>
      </c>
      <c r="N64" s="169" t="n">
        <v>0</v>
      </c>
      <c r="O64" s="167" t="inlineStr">
        <is>
          <t>Jul'22</t>
        </is>
      </c>
      <c r="P64" s="167" t="inlineStr">
        <is>
          <t>10/08/2022</t>
        </is>
      </c>
      <c r="Q64" s="170" t="inlineStr">
        <is>
          <t>Yes</t>
        </is>
      </c>
      <c r="R64" s="167" t="inlineStr"/>
      <c r="S64" s="171" t="inlineStr">
        <is>
          <t>100%</t>
        </is>
      </c>
      <c r="T64" s="172" t="inlineStr"/>
      <c r="U64" s="172" t="inlineStr"/>
      <c r="V64" s="172" t="inlineStr"/>
    </row>
    <row r="65" hidden="1" customFormat="1" s="158">
      <c r="A65" s="167" t="inlineStr">
        <is>
          <t>24AADFG8128J1ZD</t>
        </is>
      </c>
      <c r="B65" s="167" t="inlineStr">
        <is>
          <t>GAYATRI SALES CORPORATION</t>
        </is>
      </c>
      <c r="C65" s="167" t="inlineStr">
        <is>
          <t>T/635</t>
        </is>
      </c>
      <c r="D65" s="168" t="inlineStr">
        <is>
          <t>Regular</t>
        </is>
      </c>
      <c r="E65" s="167" t="inlineStr">
        <is>
          <t>28/07/2022</t>
        </is>
      </c>
      <c r="F65" s="169" t="n">
        <v>65230</v>
      </c>
      <c r="G65" s="168" t="inlineStr">
        <is>
          <t>Gujarat</t>
        </is>
      </c>
      <c r="H65" s="170" t="inlineStr">
        <is>
          <t>No</t>
        </is>
      </c>
      <c r="I65" s="171" t="n">
        <v>5</v>
      </c>
      <c r="J65" s="169" t="n">
        <v>952.38</v>
      </c>
      <c r="K65" s="169" t="n">
        <v>0</v>
      </c>
      <c r="L65" s="169" t="n">
        <v>23.81</v>
      </c>
      <c r="M65" s="169" t="n">
        <v>23.81</v>
      </c>
      <c r="N65" s="169" t="n">
        <v>0</v>
      </c>
      <c r="O65" s="167" t="inlineStr">
        <is>
          <t>Jul'22</t>
        </is>
      </c>
      <c r="P65" s="167" t="inlineStr">
        <is>
          <t>10/08/2022</t>
        </is>
      </c>
      <c r="Q65" s="170" t="inlineStr">
        <is>
          <t>Yes</t>
        </is>
      </c>
      <c r="R65" s="167" t="inlineStr"/>
      <c r="S65" s="171" t="inlineStr">
        <is>
          <t>100%</t>
        </is>
      </c>
      <c r="T65" s="172" t="inlineStr"/>
      <c r="U65" s="172" t="inlineStr"/>
      <c r="V65" s="172" t="inlineStr"/>
    </row>
    <row r="66" hidden="1" customFormat="1" s="158">
      <c r="A66" s="167" t="inlineStr">
        <is>
          <t>24AADFG8128J1ZD</t>
        </is>
      </c>
      <c r="B66" s="167" t="inlineStr">
        <is>
          <t>GAYATRI SALES CORPORATION</t>
        </is>
      </c>
      <c r="C66" s="167" t="inlineStr">
        <is>
          <t>T/635</t>
        </is>
      </c>
      <c r="D66" s="168" t="inlineStr">
        <is>
          <t>Regular</t>
        </is>
      </c>
      <c r="E66" s="167" t="inlineStr">
        <is>
          <t>28/07/2022</t>
        </is>
      </c>
      <c r="F66" s="169" t="n">
        <v>65230</v>
      </c>
      <c r="G66" s="168" t="inlineStr">
        <is>
          <t>Gujarat</t>
        </is>
      </c>
      <c r="H66" s="170" t="inlineStr">
        <is>
          <t>No</t>
        </is>
      </c>
      <c r="I66" s="171" t="n">
        <v>18</v>
      </c>
      <c r="J66" s="169" t="n">
        <v>54220.34</v>
      </c>
      <c r="K66" s="169" t="n">
        <v>0</v>
      </c>
      <c r="L66" s="169" t="n">
        <v>4879.83</v>
      </c>
      <c r="M66" s="169" t="n">
        <v>4879.83</v>
      </c>
      <c r="N66" s="169" t="n">
        <v>0</v>
      </c>
      <c r="O66" s="167" t="inlineStr">
        <is>
          <t>Jul'22</t>
        </is>
      </c>
      <c r="P66" s="167" t="inlineStr">
        <is>
          <t>10/08/2022</t>
        </is>
      </c>
      <c r="Q66" s="170" t="inlineStr">
        <is>
          <t>Yes</t>
        </is>
      </c>
      <c r="R66" s="167" t="inlineStr"/>
      <c r="S66" s="171" t="inlineStr">
        <is>
          <t>100%</t>
        </is>
      </c>
      <c r="T66" s="172" t="inlineStr"/>
      <c r="U66" s="172" t="inlineStr"/>
      <c r="V66" s="172" t="inlineStr"/>
    </row>
    <row r="67" hidden="1" customFormat="1" s="158">
      <c r="A67" s="167" t="inlineStr">
        <is>
          <t>24AADFG8128J1ZD</t>
        </is>
      </c>
      <c r="B67" s="167" t="inlineStr">
        <is>
          <t>GAYATRI SALES CORPORATION</t>
        </is>
      </c>
      <c r="C67" s="167" t="inlineStr">
        <is>
          <t>T/638</t>
        </is>
      </c>
      <c r="D67" s="168" t="inlineStr">
        <is>
          <t>Regular</t>
        </is>
      </c>
      <c r="E67" s="167" t="inlineStr">
        <is>
          <t>29/07/2022</t>
        </is>
      </c>
      <c r="F67" s="169" t="n">
        <v>67050</v>
      </c>
      <c r="G67" s="168" t="inlineStr">
        <is>
          <t>Gujarat</t>
        </is>
      </c>
      <c r="H67" s="170" t="inlineStr">
        <is>
          <t>No</t>
        </is>
      </c>
      <c r="I67" s="171" t="n">
        <v>18</v>
      </c>
      <c r="J67" s="169" t="n">
        <v>56610.16</v>
      </c>
      <c r="K67" s="169" t="n">
        <v>0</v>
      </c>
      <c r="L67" s="169" t="n">
        <v>5094.91</v>
      </c>
      <c r="M67" s="169" t="n">
        <v>5094.91</v>
      </c>
      <c r="N67" s="169" t="n">
        <v>0</v>
      </c>
      <c r="O67" s="167" t="inlineStr">
        <is>
          <t>Jul'22</t>
        </is>
      </c>
      <c r="P67" s="167" t="inlineStr">
        <is>
          <t>10/08/2022</t>
        </is>
      </c>
      <c r="Q67" s="170" t="inlineStr">
        <is>
          <t>Yes</t>
        </is>
      </c>
      <c r="R67" s="167" t="inlineStr"/>
      <c r="S67" s="171" t="inlineStr">
        <is>
          <t>100%</t>
        </is>
      </c>
      <c r="T67" s="172" t="inlineStr"/>
      <c r="U67" s="172" t="inlineStr"/>
      <c r="V67" s="172" t="inlineStr"/>
    </row>
    <row r="68">
      <c r="A68" s="168" t="inlineStr">
        <is>
          <t>24AAATG1858Q1ZA</t>
        </is>
      </c>
      <c r="B68" s="168" t="inlineStr">
        <is>
          <t>GUJARAT ENERGY DEVELOPMENT AGENCY</t>
        </is>
      </c>
      <c r="C68" s="168" t="inlineStr">
        <is>
          <t>ER/2022-23/1619</t>
        </is>
      </c>
      <c r="D68" s="168" t="inlineStr">
        <is>
          <t>Regular</t>
        </is>
      </c>
      <c r="E68" s="168" t="inlineStr">
        <is>
          <t>23/06/2022</t>
        </is>
      </c>
      <c r="F68" s="178" t="n">
        <v>15340</v>
      </c>
      <c r="G68" s="168" t="inlineStr">
        <is>
          <t>Gujarat</t>
        </is>
      </c>
      <c r="H68" s="179" t="inlineStr">
        <is>
          <t>No</t>
        </is>
      </c>
      <c r="I68" s="180" t="n">
        <v>18</v>
      </c>
      <c r="J68" s="178" t="n">
        <v>13000</v>
      </c>
      <c r="K68" s="178" t="n">
        <v>0</v>
      </c>
      <c r="L68" s="178" t="n">
        <v>1170</v>
      </c>
      <c r="M68" s="178" t="n">
        <v>1170</v>
      </c>
      <c r="N68" s="178" t="n">
        <v>0</v>
      </c>
      <c r="O68" s="168" t="inlineStr">
        <is>
          <t>Jun'22</t>
        </is>
      </c>
      <c r="P68" s="168" t="inlineStr">
        <is>
          <t>12/07/2022</t>
        </is>
      </c>
      <c r="Q68" s="179" t="inlineStr">
        <is>
          <t>Yes</t>
        </is>
      </c>
      <c r="R68" s="168" t="inlineStr"/>
      <c r="S68" s="180" t="inlineStr">
        <is>
          <t>100%</t>
        </is>
      </c>
      <c r="T68" s="181" t="inlineStr"/>
      <c r="U68" s="181" t="inlineStr"/>
      <c r="V68" s="181" t="inlineStr"/>
    </row>
    <row r="69" hidden="1" customFormat="1" s="158">
      <c r="A69" s="167" t="inlineStr">
        <is>
          <t>24AAJFH1553N1Z7</t>
        </is>
      </c>
      <c r="B69" s="167" t="inlineStr">
        <is>
          <t>HARE KRUSHNA CONCRETE SOLUTIONS</t>
        </is>
      </c>
      <c r="C69" s="167" t="inlineStr">
        <is>
          <t>HKL/2223/1209</t>
        </is>
      </c>
      <c r="D69" s="168" t="inlineStr">
        <is>
          <t>Regular</t>
        </is>
      </c>
      <c r="E69" s="167" t="inlineStr">
        <is>
          <t>25/07/2022</t>
        </is>
      </c>
      <c r="F69" s="169" t="n">
        <v>11355</v>
      </c>
      <c r="G69" s="168" t="inlineStr">
        <is>
          <t>Gujarat</t>
        </is>
      </c>
      <c r="H69" s="170" t="inlineStr">
        <is>
          <t>No</t>
        </is>
      </c>
      <c r="I69" s="171" t="n">
        <v>18</v>
      </c>
      <c r="J69" s="169" t="n">
        <v>9622.889999999999</v>
      </c>
      <c r="K69" s="169" t="n">
        <v>0</v>
      </c>
      <c r="L69" s="169" t="n">
        <v>866.0599999999999</v>
      </c>
      <c r="M69" s="169" t="n">
        <v>866.0599999999999</v>
      </c>
      <c r="N69" s="169" t="n">
        <v>0</v>
      </c>
      <c r="O69" s="167" t="inlineStr">
        <is>
          <t>Jul'22</t>
        </is>
      </c>
      <c r="P69" s="167" t="inlineStr">
        <is>
          <t>10/08/2022</t>
        </is>
      </c>
      <c r="Q69" s="170" t="inlineStr">
        <is>
          <t>Yes</t>
        </is>
      </c>
      <c r="R69" s="167" t="inlineStr"/>
      <c r="S69" s="171" t="inlineStr">
        <is>
          <t>100%</t>
        </is>
      </c>
      <c r="T69" s="172" t="inlineStr">
        <is>
          <t>E-Invoice</t>
        </is>
      </c>
      <c r="U69" s="172" t="inlineStr">
        <is>
          <t>ce50ed91e8e60efd1fa3b39fa4734a2609bd83869b7de2887eececef5acdb42e</t>
        </is>
      </c>
      <c r="V69" s="172" t="inlineStr">
        <is>
          <t>30/07/2022</t>
        </is>
      </c>
    </row>
    <row r="70">
      <c r="A70" s="168" t="inlineStr">
        <is>
          <t>24AADCH8918G1ZJ</t>
        </is>
      </c>
      <c r="B70" s="168" t="inlineStr">
        <is>
          <t>Hitech Projects Private Limited</t>
        </is>
      </c>
      <c r="C70" s="168" t="inlineStr">
        <is>
          <t>9JULSALE2223</t>
        </is>
      </c>
      <c r="D70" s="168" t="inlineStr">
        <is>
          <t>Regular</t>
        </is>
      </c>
      <c r="E70" s="168" t="inlineStr">
        <is>
          <t>21/07/2022</t>
        </is>
      </c>
      <c r="F70" s="178" t="n">
        <v>52659374</v>
      </c>
      <c r="G70" s="168" t="inlineStr">
        <is>
          <t>Gujarat</t>
        </is>
      </c>
      <c r="H70" s="179" t="inlineStr">
        <is>
          <t>No</t>
        </is>
      </c>
      <c r="I70" s="180" t="n">
        <v>12</v>
      </c>
      <c r="J70" s="178" t="n">
        <v>47017298</v>
      </c>
      <c r="K70" s="178" t="n">
        <v>0</v>
      </c>
      <c r="L70" s="178" t="n">
        <v>2821037.88</v>
      </c>
      <c r="M70" s="178" t="n">
        <v>2821037.88</v>
      </c>
      <c r="N70" s="178" t="n">
        <v>0</v>
      </c>
      <c r="O70" s="168" t="inlineStr">
        <is>
          <t>Jul'22</t>
        </is>
      </c>
      <c r="P70" s="168" t="inlineStr">
        <is>
          <t>10/08/2022</t>
        </is>
      </c>
      <c r="Q70" s="179" t="inlineStr">
        <is>
          <t>Yes</t>
        </is>
      </c>
      <c r="R70" s="168" t="inlineStr"/>
      <c r="S70" s="180" t="inlineStr">
        <is>
          <t>100%</t>
        </is>
      </c>
      <c r="T70" s="181" t="inlineStr"/>
      <c r="U70" s="181" t="inlineStr"/>
      <c r="V70" s="181" t="inlineStr"/>
    </row>
    <row r="71" hidden="1" customFormat="1" s="158">
      <c r="A71" s="167" t="inlineStr">
        <is>
          <t>24AABFI7353M1Z6</t>
        </is>
      </c>
      <c r="B71" s="167" t="inlineStr">
        <is>
          <t>IDO DESIGN SOLUTIONS</t>
        </is>
      </c>
      <c r="C71" s="167" t="inlineStr">
        <is>
          <t>SUN/ABD/722/32</t>
        </is>
      </c>
      <c r="D71" s="168" t="inlineStr">
        <is>
          <t>Regular</t>
        </is>
      </c>
      <c r="E71" s="167" t="inlineStr">
        <is>
          <t>01/07/2022</t>
        </is>
      </c>
      <c r="F71" s="169" t="n">
        <v>94400</v>
      </c>
      <c r="G71" s="168" t="inlineStr">
        <is>
          <t>Gujarat</t>
        </is>
      </c>
      <c r="H71" s="170" t="inlineStr">
        <is>
          <t>No</t>
        </is>
      </c>
      <c r="I71" s="171" t="n">
        <v>18</v>
      </c>
      <c r="J71" s="169" t="n">
        <v>80000</v>
      </c>
      <c r="K71" s="169" t="n">
        <v>0</v>
      </c>
      <c r="L71" s="169" t="n">
        <v>7200</v>
      </c>
      <c r="M71" s="169" t="n">
        <v>7200</v>
      </c>
      <c r="N71" s="169" t="n">
        <v>0</v>
      </c>
      <c r="O71" s="167" t="inlineStr">
        <is>
          <t>Jul'22</t>
        </is>
      </c>
      <c r="P71" s="167" t="inlineStr">
        <is>
          <t>09/08/2022</t>
        </is>
      </c>
      <c r="Q71" s="170" t="inlineStr">
        <is>
          <t>Yes</t>
        </is>
      </c>
      <c r="R71" s="167" t="inlineStr"/>
      <c r="S71" s="171" t="inlineStr">
        <is>
          <t>100%</t>
        </is>
      </c>
      <c r="T71" s="172" t="inlineStr"/>
      <c r="U71" s="172" t="inlineStr"/>
      <c r="V71" s="172" t="inlineStr"/>
    </row>
    <row r="72" hidden="1" customFormat="1" s="155">
      <c r="A72" s="197" t="inlineStr">
        <is>
          <t>24AUHPP7714P1Z0</t>
        </is>
      </c>
      <c r="B72" s="197" t="inlineStr">
        <is>
          <t>KHUSHBOO XEROX</t>
        </is>
      </c>
      <c r="C72" s="197" t="inlineStr">
        <is>
          <t>36</t>
        </is>
      </c>
      <c r="D72" s="168" t="inlineStr">
        <is>
          <t>Regular</t>
        </is>
      </c>
      <c r="E72" s="197" t="inlineStr">
        <is>
          <t>11/04/2022</t>
        </is>
      </c>
      <c r="F72" s="198" t="n">
        <v>15511</v>
      </c>
      <c r="G72" s="168" t="inlineStr">
        <is>
          <t>Gujarat</t>
        </is>
      </c>
      <c r="H72" s="199" t="inlineStr">
        <is>
          <t>No</t>
        </is>
      </c>
      <c r="I72" s="200" t="n">
        <v>18</v>
      </c>
      <c r="J72" s="198" t="n">
        <v>13145</v>
      </c>
      <c r="K72" s="198" t="n">
        <v>0</v>
      </c>
      <c r="L72" s="198" t="n">
        <v>1183.05</v>
      </c>
      <c r="M72" s="198" t="n">
        <v>1183.05</v>
      </c>
      <c r="N72" s="198" t="n">
        <v>0</v>
      </c>
      <c r="O72" s="197" t="inlineStr">
        <is>
          <t>Jun'22</t>
        </is>
      </c>
      <c r="P72" s="197" t="inlineStr">
        <is>
          <t>14/07/2022</t>
        </is>
      </c>
      <c r="Q72" s="199" t="inlineStr">
        <is>
          <t>Yes</t>
        </is>
      </c>
      <c r="R72" s="197" t="inlineStr"/>
      <c r="S72" s="200" t="inlineStr">
        <is>
          <t>100%</t>
        </is>
      </c>
      <c r="T72" s="201" t="inlineStr"/>
      <c r="U72" s="201" t="inlineStr"/>
      <c r="V72" s="201" t="inlineStr"/>
    </row>
    <row r="73" hidden="1" customFormat="1" s="158">
      <c r="A73" s="167" t="inlineStr">
        <is>
          <t>24AUHPP7714P1Z0</t>
        </is>
      </c>
      <c r="B73" s="167" t="inlineStr">
        <is>
          <t>KHUSHBOO XEROX</t>
        </is>
      </c>
      <c r="C73" s="167" t="inlineStr">
        <is>
          <t>86</t>
        </is>
      </c>
      <c r="D73" s="168" t="inlineStr">
        <is>
          <t>Regular</t>
        </is>
      </c>
      <c r="E73" s="167" t="inlineStr">
        <is>
          <t>14/05/2022</t>
        </is>
      </c>
      <c r="F73" s="169" t="n">
        <v>21766</v>
      </c>
      <c r="G73" s="168" t="inlineStr">
        <is>
          <t>Gujarat</t>
        </is>
      </c>
      <c r="H73" s="170" t="inlineStr">
        <is>
          <t>No</t>
        </is>
      </c>
      <c r="I73" s="171" t="n">
        <v>18</v>
      </c>
      <c r="J73" s="169" t="n">
        <v>18446</v>
      </c>
      <c r="K73" s="169" t="n">
        <v>0</v>
      </c>
      <c r="L73" s="169" t="n">
        <v>1660.14</v>
      </c>
      <c r="M73" s="169" t="n">
        <v>1660.14</v>
      </c>
      <c r="N73" s="169" t="n">
        <v>0</v>
      </c>
      <c r="O73" s="167" t="inlineStr">
        <is>
          <t>Jun'22</t>
        </is>
      </c>
      <c r="P73" s="167" t="inlineStr">
        <is>
          <t>14/07/2022</t>
        </is>
      </c>
      <c r="Q73" s="170" t="inlineStr">
        <is>
          <t>Yes</t>
        </is>
      </c>
      <c r="R73" s="167" t="inlineStr"/>
      <c r="S73" s="171" t="inlineStr">
        <is>
          <t>100%</t>
        </is>
      </c>
      <c r="T73" s="172" t="inlineStr"/>
      <c r="U73" s="172" t="inlineStr"/>
      <c r="V73" s="172" t="inlineStr"/>
    </row>
    <row r="74" hidden="1" customFormat="1" s="158">
      <c r="A74" s="192" t="inlineStr">
        <is>
          <t>24BAHPJ8038H2ZN</t>
        </is>
      </c>
      <c r="B74" s="192" t="inlineStr">
        <is>
          <t>LOTUS SECURITY &amp; PVT. FORCE</t>
        </is>
      </c>
      <c r="C74" s="192" t="inlineStr">
        <is>
          <t>51</t>
        </is>
      </c>
      <c r="D74" s="168" t="inlineStr">
        <is>
          <t>Regular</t>
        </is>
      </c>
      <c r="E74" s="192" t="inlineStr">
        <is>
          <t>01/06/2022</t>
        </is>
      </c>
      <c r="F74" s="193" t="n">
        <v>22420</v>
      </c>
      <c r="G74" s="168" t="inlineStr">
        <is>
          <t>Gujarat</t>
        </is>
      </c>
      <c r="H74" s="194" t="inlineStr">
        <is>
          <t>Yes</t>
        </is>
      </c>
      <c r="I74" s="195" t="n">
        <v>18</v>
      </c>
      <c r="J74" s="193" t="n">
        <v>19000</v>
      </c>
      <c r="K74" s="193" t="n">
        <v>0</v>
      </c>
      <c r="L74" s="193" t="n">
        <v>1710</v>
      </c>
      <c r="M74" s="193" t="n">
        <v>1710</v>
      </c>
      <c r="N74" s="193" t="n">
        <v>0</v>
      </c>
      <c r="O74" s="192" t="inlineStr">
        <is>
          <t>Jun'22</t>
        </is>
      </c>
      <c r="P74" s="192" t="inlineStr">
        <is>
          <t>13/07/2022</t>
        </is>
      </c>
      <c r="Q74" s="194" t="inlineStr">
        <is>
          <t>Yes</t>
        </is>
      </c>
      <c r="R74" s="192" t="inlineStr"/>
      <c r="S74" s="195" t="inlineStr">
        <is>
          <t>100%</t>
        </is>
      </c>
      <c r="T74" s="196" t="inlineStr"/>
      <c r="U74" s="196" t="inlineStr"/>
      <c r="V74" s="196" t="inlineStr"/>
    </row>
    <row r="75" hidden="1" customFormat="1" s="158">
      <c r="A75" s="192" t="inlineStr">
        <is>
          <t>24BAHPJ8038H2ZN</t>
        </is>
      </c>
      <c r="B75" s="192" t="inlineStr">
        <is>
          <t>LOTUS SECURITY &amp; PVT. FORCE</t>
        </is>
      </c>
      <c r="C75" s="192" t="inlineStr">
        <is>
          <t>52</t>
        </is>
      </c>
      <c r="D75" s="168" t="inlineStr">
        <is>
          <t>Regular</t>
        </is>
      </c>
      <c r="E75" s="192" t="inlineStr">
        <is>
          <t>01/06/2022</t>
        </is>
      </c>
      <c r="F75" s="193" t="n">
        <v>35400</v>
      </c>
      <c r="G75" s="168" t="inlineStr">
        <is>
          <t>Gujarat</t>
        </is>
      </c>
      <c r="H75" s="194" t="inlineStr">
        <is>
          <t>Yes</t>
        </is>
      </c>
      <c r="I75" s="195" t="n">
        <v>18</v>
      </c>
      <c r="J75" s="193" t="n">
        <v>30000</v>
      </c>
      <c r="K75" s="193" t="n">
        <v>0</v>
      </c>
      <c r="L75" s="193" t="n">
        <v>2700</v>
      </c>
      <c r="M75" s="193" t="n">
        <v>2700</v>
      </c>
      <c r="N75" s="193" t="n">
        <v>0</v>
      </c>
      <c r="O75" s="192" t="inlineStr">
        <is>
          <t>Jun'22</t>
        </is>
      </c>
      <c r="P75" s="192" t="inlineStr">
        <is>
          <t>13/07/2022</t>
        </is>
      </c>
      <c r="Q75" s="194" t="inlineStr">
        <is>
          <t>Yes</t>
        </is>
      </c>
      <c r="R75" s="192" t="inlineStr"/>
      <c r="S75" s="195" t="inlineStr">
        <is>
          <t>100%</t>
        </is>
      </c>
      <c r="T75" s="196" t="inlineStr"/>
      <c r="U75" s="196" t="inlineStr"/>
      <c r="V75" s="196" t="inlineStr"/>
    </row>
    <row r="76" hidden="1">
      <c r="A76" s="167" t="inlineStr">
        <is>
          <t>24ABGFM5709H1ZA</t>
        </is>
      </c>
      <c r="B76" s="167" t="inlineStr">
        <is>
          <t>M.R.HARDWARE</t>
        </is>
      </c>
      <c r="C76" s="167" t="inlineStr">
        <is>
          <t>MR22-23039</t>
        </is>
      </c>
      <c r="D76" s="168" t="inlineStr">
        <is>
          <t>Regular</t>
        </is>
      </c>
      <c r="E76" s="167" t="inlineStr">
        <is>
          <t>09/07/2022</t>
        </is>
      </c>
      <c r="F76" s="169" t="n">
        <v>1960</v>
      </c>
      <c r="G76" s="168" t="inlineStr">
        <is>
          <t>Gujarat</t>
        </is>
      </c>
      <c r="H76" s="170" t="inlineStr">
        <is>
          <t>No</t>
        </is>
      </c>
      <c r="I76" s="171" t="n">
        <v>18</v>
      </c>
      <c r="J76" s="169" t="n">
        <v>1660.8</v>
      </c>
      <c r="K76" s="169" t="n">
        <v>0</v>
      </c>
      <c r="L76" s="169" t="n">
        <v>149.47</v>
      </c>
      <c r="M76" s="169" t="n">
        <v>149.47</v>
      </c>
      <c r="N76" s="169" t="n">
        <v>0</v>
      </c>
      <c r="O76" s="167" t="inlineStr">
        <is>
          <t>Jul'22</t>
        </is>
      </c>
      <c r="P76" s="167" t="inlineStr">
        <is>
          <t>08/08/2022</t>
        </is>
      </c>
      <c r="Q76" s="170" t="inlineStr">
        <is>
          <t>Yes</t>
        </is>
      </c>
      <c r="R76" s="167" t="inlineStr"/>
      <c r="S76" s="171" t="inlineStr">
        <is>
          <t>100%</t>
        </is>
      </c>
      <c r="T76" s="172" t="inlineStr"/>
      <c r="U76" s="172" t="inlineStr"/>
      <c r="V76" s="172" t="inlineStr"/>
    </row>
    <row r="77" hidden="1">
      <c r="A77" s="167" t="inlineStr">
        <is>
          <t>24ABGFM5709H1ZA</t>
        </is>
      </c>
      <c r="B77" s="167" t="inlineStr">
        <is>
          <t>M.R.HARDWARE</t>
        </is>
      </c>
      <c r="C77" s="167" t="inlineStr">
        <is>
          <t>MR22-23044</t>
        </is>
      </c>
      <c r="D77" s="168" t="inlineStr">
        <is>
          <t>Regular</t>
        </is>
      </c>
      <c r="E77" s="167" t="inlineStr">
        <is>
          <t>22/07/2022</t>
        </is>
      </c>
      <c r="F77" s="169" t="n">
        <v>11812</v>
      </c>
      <c r="G77" s="168" t="inlineStr">
        <is>
          <t>Gujarat</t>
        </is>
      </c>
      <c r="H77" s="170" t="inlineStr">
        <is>
          <t>No</t>
        </is>
      </c>
      <c r="I77" s="171" t="n">
        <v>18</v>
      </c>
      <c r="J77" s="169" t="n">
        <v>10010</v>
      </c>
      <c r="K77" s="169" t="n">
        <v>0</v>
      </c>
      <c r="L77" s="169" t="n">
        <v>900.9</v>
      </c>
      <c r="M77" s="169" t="n">
        <v>900.9</v>
      </c>
      <c r="N77" s="169" t="n">
        <v>0</v>
      </c>
      <c r="O77" s="167" t="inlineStr">
        <is>
          <t>Jul'22</t>
        </is>
      </c>
      <c r="P77" s="167" t="inlineStr">
        <is>
          <t>08/08/2022</t>
        </is>
      </c>
      <c r="Q77" s="170" t="inlineStr">
        <is>
          <t>Yes</t>
        </is>
      </c>
      <c r="R77" s="167" t="inlineStr"/>
      <c r="S77" s="171" t="inlineStr">
        <is>
          <t>100%</t>
        </is>
      </c>
      <c r="T77" s="172" t="inlineStr"/>
      <c r="U77" s="172" t="inlineStr"/>
      <c r="V77" s="172" t="inlineStr"/>
    </row>
    <row r="78">
      <c r="A78" s="168" t="inlineStr">
        <is>
          <t>24ABJFM6472E1Z7</t>
        </is>
      </c>
      <c r="B78" s="168" t="inlineStr">
        <is>
          <t>MAMATA AIRWINGS</t>
        </is>
      </c>
      <c r="C78" s="168" t="inlineStr">
        <is>
          <t>D00001602</t>
        </is>
      </c>
      <c r="D78" s="168" t="inlineStr">
        <is>
          <t>Regular</t>
        </is>
      </c>
      <c r="E78" s="168" t="inlineStr">
        <is>
          <t>14/07/2022</t>
        </is>
      </c>
      <c r="F78" s="178" t="n">
        <v>13750</v>
      </c>
      <c r="G78" s="168" t="inlineStr">
        <is>
          <t>Gujarat</t>
        </is>
      </c>
      <c r="H78" s="179" t="inlineStr">
        <is>
          <t>No</t>
        </is>
      </c>
      <c r="I78" s="180" t="n">
        <v>18</v>
      </c>
      <c r="J78" s="178" t="n">
        <v>230.5</v>
      </c>
      <c r="K78" s="178" t="n">
        <v>0</v>
      </c>
      <c r="L78" s="178" t="n">
        <v>20.75</v>
      </c>
      <c r="M78" s="178" t="n">
        <v>20.75</v>
      </c>
      <c r="N78" s="178" t="n">
        <v>0</v>
      </c>
      <c r="O78" s="168" t="inlineStr">
        <is>
          <t>Jul'22</t>
        </is>
      </c>
      <c r="P78" s="168" t="inlineStr">
        <is>
          <t>09/08/2022</t>
        </is>
      </c>
      <c r="Q78" s="179" t="inlineStr">
        <is>
          <t>Yes</t>
        </is>
      </c>
      <c r="R78" s="168" t="inlineStr"/>
      <c r="S78" s="180" t="inlineStr">
        <is>
          <t>100%</t>
        </is>
      </c>
      <c r="T78" s="181" t="inlineStr"/>
      <c r="U78" s="181" t="inlineStr"/>
      <c r="V78" s="181" t="inlineStr"/>
    </row>
    <row r="79">
      <c r="A79" s="168" t="inlineStr">
        <is>
          <t>24ABJFM6472E1Z7</t>
        </is>
      </c>
      <c r="B79" s="168" t="inlineStr">
        <is>
          <t>MAMATA AIRWINGS</t>
        </is>
      </c>
      <c r="C79" s="168" t="inlineStr">
        <is>
          <t>H00000165</t>
        </is>
      </c>
      <c r="D79" s="168" t="inlineStr">
        <is>
          <t>Regular</t>
        </is>
      </c>
      <c r="E79" s="168" t="inlineStr">
        <is>
          <t>05/07/2022</t>
        </is>
      </c>
      <c r="F79" s="178" t="n">
        <v>32500</v>
      </c>
      <c r="G79" s="168" t="inlineStr">
        <is>
          <t>Gujarat</t>
        </is>
      </c>
      <c r="H79" s="179" t="inlineStr">
        <is>
          <t>No</t>
        </is>
      </c>
      <c r="I79" s="180" t="n">
        <v>18</v>
      </c>
      <c r="J79" s="178" t="n">
        <v>1978.82</v>
      </c>
      <c r="K79" s="178" t="n">
        <v>0</v>
      </c>
      <c r="L79" s="178" t="n">
        <v>178.09</v>
      </c>
      <c r="M79" s="178" t="n">
        <v>178.09</v>
      </c>
      <c r="N79" s="178" t="n">
        <v>0</v>
      </c>
      <c r="O79" s="168" t="inlineStr">
        <is>
          <t>Jul'22</t>
        </is>
      </c>
      <c r="P79" s="168" t="inlineStr">
        <is>
          <t>09/08/2022</t>
        </is>
      </c>
      <c r="Q79" s="179" t="inlineStr">
        <is>
          <t>Yes</t>
        </is>
      </c>
      <c r="R79" s="168" t="inlineStr"/>
      <c r="S79" s="180" t="inlineStr">
        <is>
          <t>100%</t>
        </is>
      </c>
      <c r="T79" s="181" t="inlineStr"/>
      <c r="U79" s="181" t="inlineStr"/>
      <c r="V79" s="181" t="inlineStr"/>
    </row>
    <row r="80">
      <c r="A80" s="168" t="inlineStr">
        <is>
          <t>24ABJFM6472E1Z7</t>
        </is>
      </c>
      <c r="B80" s="168" t="inlineStr">
        <is>
          <t>MAMATA AIRWINGS</t>
        </is>
      </c>
      <c r="C80" s="168" t="inlineStr">
        <is>
          <t>I00000565</t>
        </is>
      </c>
      <c r="D80" s="168" t="inlineStr">
        <is>
          <t>Regular</t>
        </is>
      </c>
      <c r="E80" s="168" t="inlineStr">
        <is>
          <t>22/07/2022</t>
        </is>
      </c>
      <c r="F80" s="178" t="n">
        <v>341500</v>
      </c>
      <c r="G80" s="168" t="inlineStr">
        <is>
          <t>Gujarat</t>
        </is>
      </c>
      <c r="H80" s="179" t="inlineStr">
        <is>
          <t>No</t>
        </is>
      </c>
      <c r="I80" s="180" t="n">
        <v>18</v>
      </c>
      <c r="J80" s="178" t="n">
        <v>1771.19</v>
      </c>
      <c r="K80" s="178" t="n">
        <v>0</v>
      </c>
      <c r="L80" s="178" t="n">
        <v>159.41</v>
      </c>
      <c r="M80" s="178" t="n">
        <v>159.41</v>
      </c>
      <c r="N80" s="178" t="n">
        <v>0</v>
      </c>
      <c r="O80" s="168" t="inlineStr">
        <is>
          <t>Jul'22</t>
        </is>
      </c>
      <c r="P80" s="168" t="inlineStr">
        <is>
          <t>09/08/2022</t>
        </is>
      </c>
      <c r="Q80" s="179" t="inlineStr">
        <is>
          <t>Yes</t>
        </is>
      </c>
      <c r="R80" s="168" t="inlineStr"/>
      <c r="S80" s="180" t="inlineStr">
        <is>
          <t>100%</t>
        </is>
      </c>
      <c r="T80" s="181" t="inlineStr"/>
      <c r="U80" s="181" t="inlineStr"/>
      <c r="V80" s="181" t="inlineStr"/>
    </row>
    <row r="81" hidden="1" customFormat="1" s="161">
      <c r="A81" s="187" t="inlineStr">
        <is>
          <t>24AKYPS8781J1ZZ</t>
        </is>
      </c>
      <c r="B81" s="187" t="inlineStr">
        <is>
          <t>NAIMISH N. SHAH &amp; CO.</t>
        </is>
      </c>
      <c r="C81" s="187" t="inlineStr">
        <is>
          <t>GST/0421/2022-23</t>
        </is>
      </c>
      <c r="D81" s="168" t="inlineStr">
        <is>
          <t>Regular</t>
        </is>
      </c>
      <c r="E81" s="187" t="inlineStr">
        <is>
          <t>01/07/2022</t>
        </is>
      </c>
      <c r="F81" s="188" t="n">
        <v>11800</v>
      </c>
      <c r="G81" s="168" t="inlineStr">
        <is>
          <t>Gujarat</t>
        </is>
      </c>
      <c r="H81" s="189" t="inlineStr">
        <is>
          <t>No</t>
        </is>
      </c>
      <c r="I81" s="190" t="n">
        <v>18</v>
      </c>
      <c r="J81" s="188" t="n">
        <v>10000</v>
      </c>
      <c r="K81" s="188" t="n">
        <v>0</v>
      </c>
      <c r="L81" s="188" t="n">
        <v>900</v>
      </c>
      <c r="M81" s="188" t="n">
        <v>900</v>
      </c>
      <c r="N81" s="188" t="n">
        <v>0</v>
      </c>
      <c r="O81" s="187" t="inlineStr">
        <is>
          <t>Jul'22</t>
        </is>
      </c>
      <c r="P81" s="187" t="inlineStr">
        <is>
          <t>09/08/2022</t>
        </is>
      </c>
      <c r="Q81" s="189" t="inlineStr">
        <is>
          <t>Yes</t>
        </is>
      </c>
      <c r="R81" s="187" t="inlineStr"/>
      <c r="S81" s="190" t="inlineStr">
        <is>
          <t>100%</t>
        </is>
      </c>
      <c r="T81" s="191" t="inlineStr"/>
      <c r="U81" s="191" t="inlineStr"/>
      <c r="V81" s="191" t="inlineStr"/>
    </row>
    <row r="82" hidden="1" customFormat="1" s="158">
      <c r="A82" s="167" t="inlineStr">
        <is>
          <t>24AKYPS8781J1ZZ</t>
        </is>
      </c>
      <c r="B82" s="167" t="inlineStr">
        <is>
          <t>NAIMISH N. SHAH &amp; CO.</t>
        </is>
      </c>
      <c r="C82" s="167" t="inlineStr">
        <is>
          <t>GST/0426/2022-23</t>
        </is>
      </c>
      <c r="D82" s="168" t="inlineStr">
        <is>
          <t>Regular</t>
        </is>
      </c>
      <c r="E82" s="167" t="inlineStr">
        <is>
          <t>01/07/2022</t>
        </is>
      </c>
      <c r="F82" s="169" t="n">
        <v>17700</v>
      </c>
      <c r="G82" s="168" t="inlineStr">
        <is>
          <t>Gujarat</t>
        </is>
      </c>
      <c r="H82" s="170" t="inlineStr">
        <is>
          <t>No</t>
        </is>
      </c>
      <c r="I82" s="171" t="n">
        <v>18</v>
      </c>
      <c r="J82" s="169" t="n">
        <v>15000</v>
      </c>
      <c r="K82" s="169" t="n">
        <v>0</v>
      </c>
      <c r="L82" s="169" t="n">
        <v>1350</v>
      </c>
      <c r="M82" s="169" t="n">
        <v>1350</v>
      </c>
      <c r="N82" s="169" t="n">
        <v>0</v>
      </c>
      <c r="O82" s="167" t="inlineStr">
        <is>
          <t>Jul'22</t>
        </is>
      </c>
      <c r="P82" s="167" t="inlineStr">
        <is>
          <t>09/08/2022</t>
        </is>
      </c>
      <c r="Q82" s="170" t="inlineStr">
        <is>
          <t>Yes</t>
        </is>
      </c>
      <c r="R82" s="167" t="inlineStr"/>
      <c r="S82" s="171" t="inlineStr">
        <is>
          <t>100%</t>
        </is>
      </c>
      <c r="T82" s="172" t="inlineStr"/>
      <c r="U82" s="172" t="inlineStr"/>
      <c r="V82" s="172" t="inlineStr"/>
    </row>
    <row r="83">
      <c r="A83" s="168" t="inlineStr">
        <is>
          <t>24AACHT7704C1ZG</t>
        </is>
      </c>
      <c r="B83" s="168" t="inlineStr">
        <is>
          <t>OPULENT PRINT PACK</t>
        </is>
      </c>
      <c r="C83" s="168" t="inlineStr">
        <is>
          <t>70/22-23</t>
        </is>
      </c>
      <c r="D83" s="168" t="inlineStr">
        <is>
          <t>Regular</t>
        </is>
      </c>
      <c r="E83" s="168" t="inlineStr">
        <is>
          <t>20/07/2022</t>
        </is>
      </c>
      <c r="F83" s="178" t="n">
        <v>129800</v>
      </c>
      <c r="G83" s="168" t="inlineStr">
        <is>
          <t>Gujarat</t>
        </is>
      </c>
      <c r="H83" s="179" t="inlineStr">
        <is>
          <t>No</t>
        </is>
      </c>
      <c r="I83" s="180" t="n">
        <v>18</v>
      </c>
      <c r="J83" s="178" t="n">
        <v>110000</v>
      </c>
      <c r="K83" s="178" t="n">
        <v>0</v>
      </c>
      <c r="L83" s="178" t="n">
        <v>9900</v>
      </c>
      <c r="M83" s="178" t="n">
        <v>9900</v>
      </c>
      <c r="N83" s="178" t="n">
        <v>0</v>
      </c>
      <c r="O83" s="168" t="inlineStr">
        <is>
          <t>Jul'22</t>
        </is>
      </c>
      <c r="P83" s="168" t="inlineStr">
        <is>
          <t>12/08/2022</t>
        </is>
      </c>
      <c r="Q83" s="179" t="inlineStr">
        <is>
          <t>Yes</t>
        </is>
      </c>
      <c r="R83" s="168" t="inlineStr"/>
      <c r="S83" s="180" t="inlineStr">
        <is>
          <t>100%</t>
        </is>
      </c>
      <c r="T83" s="181" t="inlineStr"/>
      <c r="U83" s="181" t="inlineStr"/>
      <c r="V83" s="181" t="inlineStr"/>
    </row>
    <row r="84" hidden="1" customFormat="1" s="158">
      <c r="A84" s="167" t="inlineStr">
        <is>
          <t>24AAPFR4564B1Z7</t>
        </is>
      </c>
      <c r="B84" s="167" t="inlineStr">
        <is>
          <t>RADIANT INDUSTRIES</t>
        </is>
      </c>
      <c r="C84" s="167" t="inlineStr">
        <is>
          <t>GST-0695/22-23</t>
        </is>
      </c>
      <c r="D84" s="168" t="inlineStr">
        <is>
          <t>Regular</t>
        </is>
      </c>
      <c r="E84" s="167" t="inlineStr">
        <is>
          <t>04/07/2022</t>
        </is>
      </c>
      <c r="F84" s="169" t="n">
        <v>22500</v>
      </c>
      <c r="G84" s="168" t="inlineStr">
        <is>
          <t>Gujarat</t>
        </is>
      </c>
      <c r="H84" s="170" t="inlineStr">
        <is>
          <t>No</t>
        </is>
      </c>
      <c r="I84" s="171" t="n">
        <v>18</v>
      </c>
      <c r="J84" s="169" t="n">
        <v>19068</v>
      </c>
      <c r="K84" s="169" t="n">
        <v>0</v>
      </c>
      <c r="L84" s="169" t="n">
        <v>1716.12</v>
      </c>
      <c r="M84" s="169" t="n">
        <v>1716.12</v>
      </c>
      <c r="N84" s="169" t="n">
        <v>0</v>
      </c>
      <c r="O84" s="167" t="inlineStr">
        <is>
          <t>Jul'22</t>
        </is>
      </c>
      <c r="P84" s="167" t="inlineStr">
        <is>
          <t>12/08/2022</t>
        </is>
      </c>
      <c r="Q84" s="170" t="inlineStr">
        <is>
          <t>Yes</t>
        </is>
      </c>
      <c r="R84" s="167" t="inlineStr"/>
      <c r="S84" s="171" t="inlineStr">
        <is>
          <t>100%</t>
        </is>
      </c>
      <c r="T84" s="172" t="inlineStr"/>
      <c r="U84" s="172" t="inlineStr"/>
      <c r="V84" s="172" t="inlineStr"/>
    </row>
    <row r="85" hidden="1" customFormat="1" s="158">
      <c r="A85" s="167" t="inlineStr">
        <is>
          <t>24AAPFR4564B1Z7</t>
        </is>
      </c>
      <c r="B85" s="167" t="inlineStr">
        <is>
          <t>RADIANT INDUSTRIES</t>
        </is>
      </c>
      <c r="C85" s="167" t="inlineStr">
        <is>
          <t>GST-0727/22-23</t>
        </is>
      </c>
      <c r="D85" s="168" t="inlineStr">
        <is>
          <t>Regular</t>
        </is>
      </c>
      <c r="E85" s="167" t="inlineStr">
        <is>
          <t>09/07/2022</t>
        </is>
      </c>
      <c r="F85" s="169" t="n">
        <v>15000</v>
      </c>
      <c r="G85" s="168" t="inlineStr">
        <is>
          <t>Gujarat</t>
        </is>
      </c>
      <c r="H85" s="170" t="inlineStr">
        <is>
          <t>No</t>
        </is>
      </c>
      <c r="I85" s="171" t="n">
        <v>18</v>
      </c>
      <c r="J85" s="169" t="n">
        <v>12712</v>
      </c>
      <c r="K85" s="169" t="n">
        <v>0</v>
      </c>
      <c r="L85" s="169" t="n">
        <v>1144.08</v>
      </c>
      <c r="M85" s="169" t="n">
        <v>1144.08</v>
      </c>
      <c r="N85" s="169" t="n">
        <v>0</v>
      </c>
      <c r="O85" s="167" t="inlineStr">
        <is>
          <t>Jul'22</t>
        </is>
      </c>
      <c r="P85" s="167" t="inlineStr">
        <is>
          <t>12/08/2022</t>
        </is>
      </c>
      <c r="Q85" s="170" t="inlineStr">
        <is>
          <t>Yes</t>
        </is>
      </c>
      <c r="R85" s="167" t="inlineStr"/>
      <c r="S85" s="171" t="inlineStr">
        <is>
          <t>100%</t>
        </is>
      </c>
      <c r="T85" s="172" t="inlineStr"/>
      <c r="U85" s="172" t="inlineStr"/>
      <c r="V85" s="172" t="inlineStr"/>
    </row>
    <row r="86" hidden="1" customFormat="1" s="158">
      <c r="A86" s="167" t="inlineStr">
        <is>
          <t>24AAPFR4564B1Z7</t>
        </is>
      </c>
      <c r="B86" s="167" t="inlineStr">
        <is>
          <t>RADIANT INDUSTRIES</t>
        </is>
      </c>
      <c r="C86" s="167" t="inlineStr">
        <is>
          <t>GST-0737/22-23</t>
        </is>
      </c>
      <c r="D86" s="168" t="inlineStr">
        <is>
          <t>Regular</t>
        </is>
      </c>
      <c r="E86" s="167" t="inlineStr">
        <is>
          <t>12/07/2022</t>
        </is>
      </c>
      <c r="F86" s="169" t="n">
        <v>15000</v>
      </c>
      <c r="G86" s="168" t="inlineStr">
        <is>
          <t>Gujarat</t>
        </is>
      </c>
      <c r="H86" s="170" t="inlineStr">
        <is>
          <t>No</t>
        </is>
      </c>
      <c r="I86" s="171" t="n">
        <v>18</v>
      </c>
      <c r="J86" s="169" t="n">
        <v>12712</v>
      </c>
      <c r="K86" s="169" t="n">
        <v>0</v>
      </c>
      <c r="L86" s="169" t="n">
        <v>1144.08</v>
      </c>
      <c r="M86" s="169" t="n">
        <v>1144.08</v>
      </c>
      <c r="N86" s="169" t="n">
        <v>0</v>
      </c>
      <c r="O86" s="167" t="inlineStr">
        <is>
          <t>Jul'22</t>
        </is>
      </c>
      <c r="P86" s="167" t="inlineStr">
        <is>
          <t>12/08/2022</t>
        </is>
      </c>
      <c r="Q86" s="170" t="inlineStr">
        <is>
          <t>Yes</t>
        </is>
      </c>
      <c r="R86" s="167" t="inlineStr"/>
      <c r="S86" s="171" t="inlineStr">
        <is>
          <t>100%</t>
        </is>
      </c>
      <c r="T86" s="172" t="inlineStr"/>
      <c r="U86" s="172" t="inlineStr"/>
      <c r="V86" s="172" t="inlineStr"/>
    </row>
    <row r="87" hidden="1" customFormat="1" s="158">
      <c r="A87" s="167" t="inlineStr">
        <is>
          <t>24AAPFR4564B1Z7</t>
        </is>
      </c>
      <c r="B87" s="167" t="inlineStr">
        <is>
          <t>RADIANT INDUSTRIES</t>
        </is>
      </c>
      <c r="C87" s="167" t="inlineStr">
        <is>
          <t>GST-0838/22-23</t>
        </is>
      </c>
      <c r="D87" s="168" t="inlineStr">
        <is>
          <t>Regular</t>
        </is>
      </c>
      <c r="E87" s="167" t="inlineStr">
        <is>
          <t>28/07/2022</t>
        </is>
      </c>
      <c r="F87" s="169" t="n">
        <v>30000</v>
      </c>
      <c r="G87" s="168" t="inlineStr">
        <is>
          <t>Gujarat</t>
        </is>
      </c>
      <c r="H87" s="170" t="inlineStr">
        <is>
          <t>No</t>
        </is>
      </c>
      <c r="I87" s="171" t="n">
        <v>18</v>
      </c>
      <c r="J87" s="169" t="n">
        <v>25424</v>
      </c>
      <c r="K87" s="169" t="n">
        <v>0</v>
      </c>
      <c r="L87" s="169" t="n">
        <v>2288.16</v>
      </c>
      <c r="M87" s="169" t="n">
        <v>2288.16</v>
      </c>
      <c r="N87" s="169" t="n">
        <v>0</v>
      </c>
      <c r="O87" s="167" t="inlineStr">
        <is>
          <t>Jul'22</t>
        </is>
      </c>
      <c r="P87" s="167" t="inlineStr">
        <is>
          <t>12/08/2022</t>
        </is>
      </c>
      <c r="Q87" s="170" t="inlineStr">
        <is>
          <t>Yes</t>
        </is>
      </c>
      <c r="R87" s="167" t="inlineStr"/>
      <c r="S87" s="171" t="inlineStr">
        <is>
          <t>100%</t>
        </is>
      </c>
      <c r="T87" s="172" t="inlineStr"/>
      <c r="U87" s="172" t="inlineStr"/>
      <c r="V87" s="172" t="inlineStr"/>
    </row>
    <row r="88" hidden="1" customFormat="1" s="156">
      <c r="A88" s="182" t="inlineStr">
        <is>
          <t>24AAECR3383G1ZF</t>
        </is>
      </c>
      <c r="B88" s="182" t="inlineStr">
        <is>
          <t>REX ENVIRONMENT SCIENCE PRIVATE LIMITED</t>
        </is>
      </c>
      <c r="C88" s="182" t="inlineStr">
        <is>
          <t>RESPL/22-23/0779</t>
        </is>
      </c>
      <c r="D88" s="182" t="inlineStr">
        <is>
          <t>Regular</t>
        </is>
      </c>
      <c r="E88" s="182" t="inlineStr">
        <is>
          <t>06/07/2022</t>
        </is>
      </c>
      <c r="F88" s="183" t="n">
        <v>10148</v>
      </c>
      <c r="G88" s="182" t="inlineStr">
        <is>
          <t>Gujarat</t>
        </is>
      </c>
      <c r="H88" s="184" t="inlineStr">
        <is>
          <t>No</t>
        </is>
      </c>
      <c r="I88" s="185" t="n">
        <v>18</v>
      </c>
      <c r="J88" s="183" t="n">
        <v>8600</v>
      </c>
      <c r="K88" s="183" t="n">
        <v>0</v>
      </c>
      <c r="L88" s="183" t="n">
        <v>774</v>
      </c>
      <c r="M88" s="183" t="n">
        <v>774</v>
      </c>
      <c r="N88" s="183" t="n">
        <v>0</v>
      </c>
      <c r="O88" s="182" t="inlineStr">
        <is>
          <t>Jul'22</t>
        </is>
      </c>
      <c r="P88" s="182" t="inlineStr">
        <is>
          <t>10/08/2022</t>
        </is>
      </c>
      <c r="Q88" s="184" t="inlineStr">
        <is>
          <t>Yes</t>
        </is>
      </c>
      <c r="R88" s="182" t="inlineStr"/>
      <c r="S88" s="185" t="inlineStr">
        <is>
          <t>100%</t>
        </is>
      </c>
      <c r="T88" s="186" t="inlineStr"/>
      <c r="U88" s="186" t="inlineStr"/>
      <c r="V88" s="186" t="inlineStr"/>
    </row>
    <row r="89" hidden="1" customFormat="1" s="158">
      <c r="A89" s="167" t="inlineStr">
        <is>
          <t>24ABEPP0273F1ZZ</t>
        </is>
      </c>
      <c r="B89" s="167" t="inlineStr">
        <is>
          <t>SAVARIA MARBLE AND GRANITE</t>
        </is>
      </c>
      <c r="C89" s="167" t="inlineStr">
        <is>
          <t>34</t>
        </is>
      </c>
      <c r="D89" s="168" t="inlineStr">
        <is>
          <t>Regular</t>
        </is>
      </c>
      <c r="E89" s="167" t="inlineStr">
        <is>
          <t>21/07/2022</t>
        </is>
      </c>
      <c r="F89" s="169" t="n">
        <v>20192</v>
      </c>
      <c r="G89" s="168" t="inlineStr">
        <is>
          <t>Gujarat</t>
        </is>
      </c>
      <c r="H89" s="170" t="inlineStr">
        <is>
          <t>No</t>
        </is>
      </c>
      <c r="I89" s="171" t="n">
        <v>18</v>
      </c>
      <c r="J89" s="169" t="n">
        <v>17111.75</v>
      </c>
      <c r="K89" s="169" t="n">
        <v>0</v>
      </c>
      <c r="L89" s="169" t="n">
        <v>1540.06</v>
      </c>
      <c r="M89" s="169" t="n">
        <v>1540.06</v>
      </c>
      <c r="N89" s="169" t="n">
        <v>0</v>
      </c>
      <c r="O89" s="167" t="inlineStr">
        <is>
          <t>Jul'22</t>
        </is>
      </c>
      <c r="P89" s="167" t="inlineStr">
        <is>
          <t>09/08/2022</t>
        </is>
      </c>
      <c r="Q89" s="170" t="inlineStr">
        <is>
          <t>Yes</t>
        </is>
      </c>
      <c r="R89" s="167" t="inlineStr"/>
      <c r="S89" s="171" t="inlineStr">
        <is>
          <t>100%</t>
        </is>
      </c>
      <c r="T89" s="172" t="inlineStr"/>
      <c r="U89" s="172" t="inlineStr"/>
      <c r="V89" s="172" t="inlineStr"/>
    </row>
    <row r="90" hidden="1" customFormat="1" s="158">
      <c r="A90" s="167" t="inlineStr">
        <is>
          <t>24ABEPP0273F1ZZ</t>
        </is>
      </c>
      <c r="B90" s="167" t="inlineStr">
        <is>
          <t>SAVARIA MARBLE AND GRANITE</t>
        </is>
      </c>
      <c r="C90" s="167" t="inlineStr">
        <is>
          <t>41</t>
        </is>
      </c>
      <c r="D90" s="168" t="inlineStr">
        <is>
          <t>Regular</t>
        </is>
      </c>
      <c r="E90" s="167" t="inlineStr">
        <is>
          <t>28/07/2022</t>
        </is>
      </c>
      <c r="F90" s="169" t="n">
        <v>14209</v>
      </c>
      <c r="G90" s="168" t="inlineStr">
        <is>
          <t>Gujarat</t>
        </is>
      </c>
      <c r="H90" s="170" t="inlineStr">
        <is>
          <t>No</t>
        </is>
      </c>
      <c r="I90" s="171" t="n">
        <v>18</v>
      </c>
      <c r="J90" s="169" t="n">
        <v>12041.2</v>
      </c>
      <c r="K90" s="169" t="n">
        <v>0</v>
      </c>
      <c r="L90" s="169" t="n">
        <v>1083.71</v>
      </c>
      <c r="M90" s="169" t="n">
        <v>1083.71</v>
      </c>
      <c r="N90" s="169" t="n">
        <v>0</v>
      </c>
      <c r="O90" s="167" t="inlineStr">
        <is>
          <t>Jul'22</t>
        </is>
      </c>
      <c r="P90" s="167" t="inlineStr">
        <is>
          <t>09/08/2022</t>
        </is>
      </c>
      <c r="Q90" s="170" t="inlineStr">
        <is>
          <t>Yes</t>
        </is>
      </c>
      <c r="R90" s="167" t="inlineStr"/>
      <c r="S90" s="171" t="inlineStr">
        <is>
          <t>100%</t>
        </is>
      </c>
      <c r="T90" s="172" t="inlineStr"/>
      <c r="U90" s="172" t="inlineStr"/>
      <c r="V90" s="172" t="inlineStr"/>
    </row>
    <row r="91" hidden="1" customFormat="1" s="158">
      <c r="A91" s="167" t="inlineStr">
        <is>
          <t>24AAXFS2222D1ZB</t>
        </is>
      </c>
      <c r="B91" s="167" t="inlineStr">
        <is>
          <t>SHREE RAM STEEL STORES</t>
        </is>
      </c>
      <c r="C91" s="167" t="inlineStr">
        <is>
          <t>415</t>
        </is>
      </c>
      <c r="D91" s="168" t="inlineStr">
        <is>
          <t>Regular</t>
        </is>
      </c>
      <c r="E91" s="167" t="inlineStr">
        <is>
          <t>04/07/2022</t>
        </is>
      </c>
      <c r="F91" s="169" t="n">
        <v>4574</v>
      </c>
      <c r="G91" s="168" t="inlineStr">
        <is>
          <t>Gujarat</t>
        </is>
      </c>
      <c r="H91" s="170" t="inlineStr">
        <is>
          <t>No</t>
        </is>
      </c>
      <c r="I91" s="171" t="n">
        <v>18</v>
      </c>
      <c r="J91" s="169" t="n">
        <v>3876</v>
      </c>
      <c r="K91" s="169" t="n">
        <v>0</v>
      </c>
      <c r="L91" s="169" t="n">
        <v>348.84</v>
      </c>
      <c r="M91" s="169" t="n">
        <v>348.84</v>
      </c>
      <c r="N91" s="169" t="n">
        <v>0</v>
      </c>
      <c r="O91" s="167" t="inlineStr">
        <is>
          <t>Jul'22</t>
        </is>
      </c>
      <c r="P91" s="167" t="inlineStr">
        <is>
          <t>09/08/2022</t>
        </is>
      </c>
      <c r="Q91" s="170" t="inlineStr">
        <is>
          <t>Yes</t>
        </is>
      </c>
      <c r="R91" s="167" t="inlineStr"/>
      <c r="S91" s="171" t="inlineStr">
        <is>
          <t>100%</t>
        </is>
      </c>
      <c r="T91" s="172" t="inlineStr"/>
      <c r="U91" s="172" t="inlineStr"/>
      <c r="V91" s="172" t="inlineStr"/>
    </row>
    <row r="92" hidden="1" customFormat="1" s="158">
      <c r="A92" s="167" t="inlineStr">
        <is>
          <t>24AAXFS2222D1ZB</t>
        </is>
      </c>
      <c r="B92" s="167" t="inlineStr">
        <is>
          <t>SHREE RAM STEEL STORES</t>
        </is>
      </c>
      <c r="C92" s="167" t="inlineStr">
        <is>
          <t>436</t>
        </is>
      </c>
      <c r="D92" s="168" t="inlineStr">
        <is>
          <t>Regular</t>
        </is>
      </c>
      <c r="E92" s="167" t="inlineStr">
        <is>
          <t>08/07/2022</t>
        </is>
      </c>
      <c r="F92" s="169" t="n">
        <v>5984</v>
      </c>
      <c r="G92" s="168" t="inlineStr">
        <is>
          <t>Gujarat</t>
        </is>
      </c>
      <c r="H92" s="170" t="inlineStr">
        <is>
          <t>No</t>
        </is>
      </c>
      <c r="I92" s="171" t="n">
        <v>18</v>
      </c>
      <c r="J92" s="169" t="n">
        <v>5072</v>
      </c>
      <c r="K92" s="169" t="n">
        <v>0</v>
      </c>
      <c r="L92" s="169" t="n">
        <v>456.48</v>
      </c>
      <c r="M92" s="169" t="n">
        <v>456.48</v>
      </c>
      <c r="N92" s="169" t="n">
        <v>0</v>
      </c>
      <c r="O92" s="167" t="inlineStr">
        <is>
          <t>Jul'22</t>
        </is>
      </c>
      <c r="P92" s="167" t="inlineStr">
        <is>
          <t>09/08/2022</t>
        </is>
      </c>
      <c r="Q92" s="170" t="inlineStr">
        <is>
          <t>Yes</t>
        </is>
      </c>
      <c r="R92" s="167" t="inlineStr"/>
      <c r="S92" s="171" t="inlineStr">
        <is>
          <t>100%</t>
        </is>
      </c>
      <c r="T92" s="172" t="inlineStr"/>
      <c r="U92" s="172" t="inlineStr"/>
      <c r="V92" s="172" t="inlineStr"/>
    </row>
    <row r="93" hidden="1" customFormat="1" s="158">
      <c r="A93" s="167" t="inlineStr">
        <is>
          <t>24AAXFS2222D1ZB</t>
        </is>
      </c>
      <c r="B93" s="167" t="inlineStr">
        <is>
          <t>SHREE RAM STEEL STORES</t>
        </is>
      </c>
      <c r="C93" s="167" t="inlineStr">
        <is>
          <t>455</t>
        </is>
      </c>
      <c r="D93" s="168" t="inlineStr">
        <is>
          <t>Regular</t>
        </is>
      </c>
      <c r="E93" s="167" t="inlineStr">
        <is>
          <t>14/07/2022</t>
        </is>
      </c>
      <c r="F93" s="169" t="n">
        <v>28522</v>
      </c>
      <c r="G93" s="168" t="inlineStr">
        <is>
          <t>Gujarat</t>
        </is>
      </c>
      <c r="H93" s="170" t="inlineStr">
        <is>
          <t>No</t>
        </is>
      </c>
      <c r="I93" s="171" t="n">
        <v>18</v>
      </c>
      <c r="J93" s="169" t="n">
        <v>24172</v>
      </c>
      <c r="K93" s="169" t="n">
        <v>0</v>
      </c>
      <c r="L93" s="169" t="n">
        <v>2175.48</v>
      </c>
      <c r="M93" s="169" t="n">
        <v>2175.48</v>
      </c>
      <c r="N93" s="169" t="n">
        <v>0</v>
      </c>
      <c r="O93" s="167" t="inlineStr">
        <is>
          <t>Jul'22</t>
        </is>
      </c>
      <c r="P93" s="167" t="inlineStr">
        <is>
          <t>09/08/2022</t>
        </is>
      </c>
      <c r="Q93" s="170" t="inlineStr">
        <is>
          <t>Yes</t>
        </is>
      </c>
      <c r="R93" s="167" t="inlineStr"/>
      <c r="S93" s="171" t="inlineStr">
        <is>
          <t>100%</t>
        </is>
      </c>
      <c r="T93" s="172" t="inlineStr"/>
      <c r="U93" s="172" t="inlineStr"/>
      <c r="V93" s="172" t="inlineStr"/>
    </row>
    <row r="94" hidden="1" customFormat="1" s="158">
      <c r="A94" s="167" t="inlineStr">
        <is>
          <t>24AAXFS2222D1ZB</t>
        </is>
      </c>
      <c r="B94" s="167" t="inlineStr">
        <is>
          <t>SHREE RAM STEEL STORES</t>
        </is>
      </c>
      <c r="C94" s="167" t="inlineStr">
        <is>
          <t>500</t>
        </is>
      </c>
      <c r="D94" s="168" t="inlineStr">
        <is>
          <t>Regular</t>
        </is>
      </c>
      <c r="E94" s="167" t="inlineStr">
        <is>
          <t>28/07/2022</t>
        </is>
      </c>
      <c r="F94" s="169" t="n">
        <v>62032</v>
      </c>
      <c r="G94" s="168" t="inlineStr">
        <is>
          <t>Gujarat</t>
        </is>
      </c>
      <c r="H94" s="170" t="inlineStr">
        <is>
          <t>No</t>
        </is>
      </c>
      <c r="I94" s="171" t="n">
        <v>18</v>
      </c>
      <c r="J94" s="169" t="n">
        <v>52570</v>
      </c>
      <c r="K94" s="169" t="n">
        <v>0</v>
      </c>
      <c r="L94" s="169" t="n">
        <v>4731.3</v>
      </c>
      <c r="M94" s="169" t="n">
        <v>4731.3</v>
      </c>
      <c r="N94" s="169" t="n">
        <v>0</v>
      </c>
      <c r="O94" s="167" t="inlineStr">
        <is>
          <t>Jul'22</t>
        </is>
      </c>
      <c r="P94" s="167" t="inlineStr">
        <is>
          <t>09/08/2022</t>
        </is>
      </c>
      <c r="Q94" s="170" t="inlineStr">
        <is>
          <t>Yes</t>
        </is>
      </c>
      <c r="R94" s="167" t="inlineStr"/>
      <c r="S94" s="171" t="inlineStr">
        <is>
          <t>100%</t>
        </is>
      </c>
      <c r="T94" s="172" t="inlineStr"/>
      <c r="U94" s="172" t="inlineStr"/>
      <c r="V94" s="172" t="inlineStr"/>
    </row>
    <row r="95">
      <c r="A95" s="168" t="inlineStr">
        <is>
          <t>24AAMFS9073K1ZK</t>
        </is>
      </c>
      <c r="B95" s="168" t="inlineStr">
        <is>
          <t>STADIUM SERVICE STATION</t>
        </is>
      </c>
      <c r="C95" s="168" t="inlineStr">
        <is>
          <t>295</t>
        </is>
      </c>
      <c r="D95" s="168" t="inlineStr">
        <is>
          <t>Regular</t>
        </is>
      </c>
      <c r="E95" s="168" t="inlineStr">
        <is>
          <t>31/07/2022</t>
        </is>
      </c>
      <c r="F95" s="178" t="n">
        <v>1793</v>
      </c>
      <c r="G95" s="168" t="inlineStr">
        <is>
          <t>Gujarat</t>
        </is>
      </c>
      <c r="H95" s="179" t="inlineStr">
        <is>
          <t>No</t>
        </is>
      </c>
      <c r="I95" s="180" t="n">
        <v>18</v>
      </c>
      <c r="J95" s="178" t="n">
        <v>1519.49</v>
      </c>
      <c r="K95" s="178" t="n">
        <v>0</v>
      </c>
      <c r="L95" s="178" t="n">
        <v>136.75</v>
      </c>
      <c r="M95" s="178" t="n">
        <v>136.75</v>
      </c>
      <c r="N95" s="178" t="n">
        <v>0</v>
      </c>
      <c r="O95" s="168" t="inlineStr">
        <is>
          <t>Jul'22</t>
        </is>
      </c>
      <c r="P95" s="168" t="inlineStr">
        <is>
          <t>10/08/2022</t>
        </is>
      </c>
      <c r="Q95" s="179" t="inlineStr">
        <is>
          <t>Yes</t>
        </is>
      </c>
      <c r="R95" s="168" t="inlineStr"/>
      <c r="S95" s="180" t="inlineStr">
        <is>
          <t>100%</t>
        </is>
      </c>
      <c r="T95" s="181" t="inlineStr"/>
      <c r="U95" s="181" t="inlineStr"/>
      <c r="V95" s="181" t="inlineStr"/>
    </row>
    <row r="96" hidden="1" customFormat="1" s="155">
      <c r="A96" s="197" t="inlineStr">
        <is>
          <t>24AKUPD2154N1ZV</t>
        </is>
      </c>
      <c r="B96" s="197" t="inlineStr">
        <is>
          <t>SURBHI ENTERPRISE</t>
        </is>
      </c>
      <c r="C96" s="197" t="inlineStr">
        <is>
          <t>26</t>
        </is>
      </c>
      <c r="D96" s="168" t="inlineStr">
        <is>
          <t>Regular</t>
        </is>
      </c>
      <c r="E96" s="197" t="inlineStr">
        <is>
          <t>07/06/2022</t>
        </is>
      </c>
      <c r="F96" s="198" t="n">
        <v>14750</v>
      </c>
      <c r="G96" s="168" t="inlineStr">
        <is>
          <t>Gujarat</t>
        </is>
      </c>
      <c r="H96" s="199" t="inlineStr">
        <is>
          <t>No</t>
        </is>
      </c>
      <c r="I96" s="200" t="n">
        <v>18</v>
      </c>
      <c r="J96" s="198" t="n">
        <v>12500</v>
      </c>
      <c r="K96" s="198" t="n">
        <v>0</v>
      </c>
      <c r="L96" s="198" t="n">
        <v>1125</v>
      </c>
      <c r="M96" s="198" t="n">
        <v>1125</v>
      </c>
      <c r="N96" s="198" t="n">
        <v>0</v>
      </c>
      <c r="O96" s="197" t="inlineStr">
        <is>
          <t>Jun'22</t>
        </is>
      </c>
      <c r="P96" s="197" t="inlineStr">
        <is>
          <t>16/07/2022</t>
        </is>
      </c>
      <c r="Q96" s="199" t="inlineStr">
        <is>
          <t>Yes</t>
        </is>
      </c>
      <c r="R96" s="197" t="inlineStr"/>
      <c r="S96" s="200" t="inlineStr">
        <is>
          <t>100%</t>
        </is>
      </c>
      <c r="T96" s="201" t="inlineStr"/>
      <c r="U96" s="201" t="inlineStr"/>
      <c r="V96" s="201" t="inlineStr"/>
    </row>
    <row r="97" hidden="1" customFormat="1" s="158">
      <c r="A97" s="167" t="inlineStr">
        <is>
          <t>24AGAPP3048H1ZM</t>
        </is>
      </c>
      <c r="B97" s="167" t="inlineStr">
        <is>
          <t>SURYA AGENCY</t>
        </is>
      </c>
      <c r="C97" s="167" t="inlineStr">
        <is>
          <t>1007</t>
        </is>
      </c>
      <c r="D97" s="168" t="inlineStr">
        <is>
          <t>Regular</t>
        </is>
      </c>
      <c r="E97" s="167" t="inlineStr">
        <is>
          <t>09/07/2022</t>
        </is>
      </c>
      <c r="F97" s="169" t="n">
        <v>4354</v>
      </c>
      <c r="G97" s="168" t="inlineStr">
        <is>
          <t>Gujarat</t>
        </is>
      </c>
      <c r="H97" s="170" t="inlineStr">
        <is>
          <t>No</t>
        </is>
      </c>
      <c r="I97" s="171" t="n">
        <v>18</v>
      </c>
      <c r="J97" s="169" t="n">
        <v>3690</v>
      </c>
      <c r="K97" s="169" t="n">
        <v>0</v>
      </c>
      <c r="L97" s="169" t="n">
        <v>332.1</v>
      </c>
      <c r="M97" s="169" t="n">
        <v>332.1</v>
      </c>
      <c r="N97" s="169" t="n">
        <v>0</v>
      </c>
      <c r="O97" s="167" t="inlineStr">
        <is>
          <t>Jul'22</t>
        </is>
      </c>
      <c r="P97" s="167" t="inlineStr">
        <is>
          <t>09/08/2022</t>
        </is>
      </c>
      <c r="Q97" s="170" t="inlineStr">
        <is>
          <t>Yes</t>
        </is>
      </c>
      <c r="R97" s="167" t="inlineStr"/>
      <c r="S97" s="171" t="inlineStr">
        <is>
          <t>100%</t>
        </is>
      </c>
      <c r="T97" s="172" t="inlineStr"/>
      <c r="U97" s="172" t="inlineStr"/>
      <c r="V97" s="172" t="inlineStr"/>
    </row>
    <row r="98" hidden="1" customFormat="1" s="158">
      <c r="A98" s="167" t="inlineStr">
        <is>
          <t>24AGAPP3048H1ZM</t>
        </is>
      </c>
      <c r="B98" s="167" t="inlineStr">
        <is>
          <t>SURYA AGENCY</t>
        </is>
      </c>
      <c r="C98" s="167" t="inlineStr">
        <is>
          <t>1020</t>
        </is>
      </c>
      <c r="D98" s="168" t="inlineStr">
        <is>
          <t>Regular</t>
        </is>
      </c>
      <c r="E98" s="167" t="inlineStr">
        <is>
          <t>10/07/2022</t>
        </is>
      </c>
      <c r="F98" s="169" t="n">
        <v>29066</v>
      </c>
      <c r="G98" s="168" t="inlineStr">
        <is>
          <t>Gujarat</t>
        </is>
      </c>
      <c r="H98" s="170" t="inlineStr">
        <is>
          <t>No</t>
        </is>
      </c>
      <c r="I98" s="171" t="n">
        <v>18</v>
      </c>
      <c r="J98" s="169" t="n">
        <v>24632.6</v>
      </c>
      <c r="K98" s="169" t="n">
        <v>0</v>
      </c>
      <c r="L98" s="169" t="n">
        <v>2216.93</v>
      </c>
      <c r="M98" s="169" t="n">
        <v>2216.93</v>
      </c>
      <c r="N98" s="169" t="n">
        <v>0</v>
      </c>
      <c r="O98" s="167" t="inlineStr">
        <is>
          <t>Jul'22</t>
        </is>
      </c>
      <c r="P98" s="167" t="inlineStr">
        <is>
          <t>09/08/2022</t>
        </is>
      </c>
      <c r="Q98" s="170" t="inlineStr">
        <is>
          <t>Yes</t>
        </is>
      </c>
      <c r="R98" s="167" t="inlineStr"/>
      <c r="S98" s="171" t="inlineStr">
        <is>
          <t>100%</t>
        </is>
      </c>
      <c r="T98" s="172" t="inlineStr"/>
      <c r="U98" s="172" t="inlineStr"/>
      <c r="V98" s="172" t="inlineStr"/>
    </row>
    <row r="99" hidden="1" customFormat="1" s="158">
      <c r="A99" s="167" t="inlineStr">
        <is>
          <t>24AGAPP3048H1ZM</t>
        </is>
      </c>
      <c r="B99" s="167" t="inlineStr">
        <is>
          <t>SURYA AGENCY</t>
        </is>
      </c>
      <c r="C99" s="167" t="inlineStr">
        <is>
          <t>1027</t>
        </is>
      </c>
      <c r="D99" s="168" t="inlineStr">
        <is>
          <t>Regular</t>
        </is>
      </c>
      <c r="E99" s="167" t="inlineStr">
        <is>
          <t>11/07/2022</t>
        </is>
      </c>
      <c r="F99" s="169" t="n">
        <v>19030</v>
      </c>
      <c r="G99" s="168" t="inlineStr">
        <is>
          <t>Gujarat</t>
        </is>
      </c>
      <c r="H99" s="170" t="inlineStr">
        <is>
          <t>No</t>
        </is>
      </c>
      <c r="I99" s="171" t="n">
        <v>18</v>
      </c>
      <c r="J99" s="169" t="n">
        <v>16127.04</v>
      </c>
      <c r="K99" s="169" t="n">
        <v>0</v>
      </c>
      <c r="L99" s="169" t="n">
        <v>1451.43</v>
      </c>
      <c r="M99" s="169" t="n">
        <v>1451.43</v>
      </c>
      <c r="N99" s="169" t="n">
        <v>0</v>
      </c>
      <c r="O99" s="167" t="inlineStr">
        <is>
          <t>Jul'22</t>
        </is>
      </c>
      <c r="P99" s="167" t="inlineStr">
        <is>
          <t>09/08/2022</t>
        </is>
      </c>
      <c r="Q99" s="170" t="inlineStr">
        <is>
          <t>Yes</t>
        </is>
      </c>
      <c r="R99" s="167" t="inlineStr"/>
      <c r="S99" s="171" t="inlineStr">
        <is>
          <t>100%</t>
        </is>
      </c>
      <c r="T99" s="172" t="inlineStr"/>
      <c r="U99" s="172" t="inlineStr"/>
      <c r="V99" s="172" t="inlineStr"/>
    </row>
    <row r="100" hidden="1" customFormat="1" s="158">
      <c r="A100" s="167" t="inlineStr">
        <is>
          <t>24BRTPS9096P1ZB</t>
        </is>
      </c>
      <c r="B100" s="167" t="inlineStr">
        <is>
          <t>SURYA SALES CORPORATION</t>
        </is>
      </c>
      <c r="C100" s="167" t="inlineStr">
        <is>
          <t>12</t>
        </is>
      </c>
      <c r="D100" s="168" t="inlineStr">
        <is>
          <t>Regular</t>
        </is>
      </c>
      <c r="E100" s="167" t="inlineStr">
        <is>
          <t>01/07/2022</t>
        </is>
      </c>
      <c r="F100" s="169" t="n">
        <v>250000</v>
      </c>
      <c r="G100" s="168" t="inlineStr">
        <is>
          <t>Gujarat</t>
        </is>
      </c>
      <c r="H100" s="170" t="inlineStr">
        <is>
          <t>No</t>
        </is>
      </c>
      <c r="I100" s="171" t="n">
        <v>18</v>
      </c>
      <c r="J100" s="169" t="n">
        <v>211864</v>
      </c>
      <c r="K100" s="169" t="n">
        <v>0</v>
      </c>
      <c r="L100" s="169" t="n">
        <v>19067.76</v>
      </c>
      <c r="M100" s="169" t="n">
        <v>19067.76</v>
      </c>
      <c r="N100" s="169" t="n">
        <v>0</v>
      </c>
      <c r="O100" s="167" t="inlineStr">
        <is>
          <t>Jul'22</t>
        </is>
      </c>
      <c r="P100" s="167" t="inlineStr">
        <is>
          <t>09/08/2022</t>
        </is>
      </c>
      <c r="Q100" s="170" t="inlineStr">
        <is>
          <t>Yes</t>
        </is>
      </c>
      <c r="R100" s="167" t="inlineStr"/>
      <c r="S100" s="171" t="inlineStr">
        <is>
          <t>100%</t>
        </is>
      </c>
      <c r="T100" s="172" t="inlineStr"/>
      <c r="U100" s="172" t="inlineStr"/>
      <c r="V100" s="172" t="inlineStr"/>
    </row>
    <row r="101" hidden="1" customFormat="1" s="162">
      <c r="A101" s="192" t="inlineStr">
        <is>
          <t>24AAACB2100P1Z3</t>
        </is>
      </c>
      <c r="B101" s="192" t="inlineStr">
        <is>
          <t>Vodafone Idea Limited</t>
        </is>
      </c>
      <c r="C101" s="192" t="inlineStr">
        <is>
          <t>GJI0607204555649</t>
        </is>
      </c>
      <c r="D101" s="168" t="inlineStr">
        <is>
          <t>Regular</t>
        </is>
      </c>
      <c r="E101" s="192" t="inlineStr">
        <is>
          <t>22/07/2022</t>
        </is>
      </c>
      <c r="F101" s="193" t="n">
        <v>1571.76</v>
      </c>
      <c r="G101" s="168" t="inlineStr">
        <is>
          <t>Gujarat</t>
        </is>
      </c>
      <c r="H101" s="194" t="inlineStr">
        <is>
          <t>No</t>
        </is>
      </c>
      <c r="I101" s="195" t="n">
        <v>18</v>
      </c>
      <c r="J101" s="193" t="n">
        <v>1332</v>
      </c>
      <c r="K101" s="193" t="n">
        <v>0</v>
      </c>
      <c r="L101" s="193" t="n">
        <v>119.88</v>
      </c>
      <c r="M101" s="193" t="n">
        <v>119.88</v>
      </c>
      <c r="N101" s="193" t="n">
        <v>0</v>
      </c>
      <c r="O101" s="192" t="inlineStr">
        <is>
          <t>Jul'22</t>
        </is>
      </c>
      <c r="P101" s="192" t="inlineStr">
        <is>
          <t>09/08/2022</t>
        </is>
      </c>
      <c r="Q101" s="194" t="inlineStr">
        <is>
          <t>Yes</t>
        </is>
      </c>
      <c r="R101" s="192" t="inlineStr"/>
      <c r="S101" s="195" t="inlineStr">
        <is>
          <t>100%</t>
        </is>
      </c>
      <c r="T101" s="196" t="inlineStr">
        <is>
          <t>E-Invoice</t>
        </is>
      </c>
      <c r="U101" s="196" t="inlineStr">
        <is>
          <t>c9b84b3d4e0f974dbb12b69eae22de2db8b3b132c706c640775c15c3bcfbecab</t>
        </is>
      </c>
      <c r="V101" s="196" t="inlineStr">
        <is>
          <t>22/07/2022</t>
        </is>
      </c>
    </row>
    <row r="102" hidden="1" customFormat="1" s="162">
      <c r="A102" s="192" t="inlineStr">
        <is>
          <t>24AAACB2100P1Z3</t>
        </is>
      </c>
      <c r="B102" s="192" t="inlineStr">
        <is>
          <t>Vodafone Idea Limited</t>
        </is>
      </c>
      <c r="C102" s="192" t="inlineStr">
        <is>
          <t>GJSO050722404174</t>
        </is>
      </c>
      <c r="D102" s="168" t="inlineStr">
        <is>
          <t>Regular</t>
        </is>
      </c>
      <c r="E102" s="192" t="inlineStr">
        <is>
          <t>15/07/2022</t>
        </is>
      </c>
      <c r="F102" s="193" t="n">
        <v>1058.46</v>
      </c>
      <c r="G102" s="168" t="inlineStr">
        <is>
          <t>Gujarat</t>
        </is>
      </c>
      <c r="H102" s="194" t="inlineStr">
        <is>
          <t>No</t>
        </is>
      </c>
      <c r="I102" s="195" t="n">
        <v>18</v>
      </c>
      <c r="J102" s="193" t="n">
        <v>897</v>
      </c>
      <c r="K102" s="193" t="n">
        <v>0</v>
      </c>
      <c r="L102" s="193" t="n">
        <v>80.73</v>
      </c>
      <c r="M102" s="193" t="n">
        <v>80.73</v>
      </c>
      <c r="N102" s="193" t="n">
        <v>0</v>
      </c>
      <c r="O102" s="192" t="inlineStr">
        <is>
          <t>Jul'22</t>
        </is>
      </c>
      <c r="P102" s="192" t="inlineStr">
        <is>
          <t>09/08/2022</t>
        </is>
      </c>
      <c r="Q102" s="194" t="inlineStr">
        <is>
          <t>Yes</t>
        </is>
      </c>
      <c r="R102" s="192" t="inlineStr"/>
      <c r="S102" s="195" t="inlineStr">
        <is>
          <t>100%</t>
        </is>
      </c>
      <c r="T102" s="196" t="inlineStr">
        <is>
          <t>E-Invoice</t>
        </is>
      </c>
      <c r="U102" s="196" t="inlineStr">
        <is>
          <t>1e6e86bcee5169f4c0daba59f05d1845b7f01e575f029bf36da4627ae98316f9</t>
        </is>
      </c>
      <c r="V102" s="196" t="inlineStr">
        <is>
          <t>15/07/2022</t>
        </is>
      </c>
    </row>
    <row r="103" hidden="1" customFormat="1" s="162">
      <c r="A103" s="192" t="inlineStr">
        <is>
          <t>24AAACB2100P1Z3</t>
        </is>
      </c>
      <c r="B103" s="192" t="inlineStr">
        <is>
          <t>Vodafone Idea Limited</t>
        </is>
      </c>
      <c r="C103" s="192" t="inlineStr">
        <is>
          <t>GJSO050722414122</t>
        </is>
      </c>
      <c r="D103" s="168" t="inlineStr">
        <is>
          <t>Regular</t>
        </is>
      </c>
      <c r="E103" s="192" t="inlineStr">
        <is>
          <t>22/07/2022</t>
        </is>
      </c>
      <c r="F103" s="193" t="n">
        <v>473.96</v>
      </c>
      <c r="G103" s="168" t="inlineStr">
        <is>
          <t>Gujarat</t>
        </is>
      </c>
      <c r="H103" s="194" t="inlineStr">
        <is>
          <t>No</t>
        </is>
      </c>
      <c r="I103" s="195" t="n">
        <v>18</v>
      </c>
      <c r="J103" s="193" t="n">
        <v>401.66</v>
      </c>
      <c r="K103" s="193" t="n">
        <v>0</v>
      </c>
      <c r="L103" s="193" t="n">
        <v>36.15</v>
      </c>
      <c r="M103" s="193" t="n">
        <v>36.15</v>
      </c>
      <c r="N103" s="193" t="n">
        <v>0</v>
      </c>
      <c r="O103" s="192" t="inlineStr">
        <is>
          <t>Jul'22</t>
        </is>
      </c>
      <c r="P103" s="192" t="inlineStr">
        <is>
          <t>09/08/2022</t>
        </is>
      </c>
      <c r="Q103" s="194" t="inlineStr">
        <is>
          <t>Yes</t>
        </is>
      </c>
      <c r="R103" s="192" t="inlineStr"/>
      <c r="S103" s="195" t="inlineStr">
        <is>
          <t>100%</t>
        </is>
      </c>
      <c r="T103" s="196" t="inlineStr">
        <is>
          <t>E-Invoice</t>
        </is>
      </c>
      <c r="U103" s="196" t="inlineStr">
        <is>
          <t>84cc5c81db2fd80317a7b6879c0b811a3b61be6b57db8f3b8c0be853a0da3605</t>
        </is>
      </c>
      <c r="V103" s="196" t="inlineStr">
        <is>
          <t>22/07/2022</t>
        </is>
      </c>
    </row>
  </sheetData>
  <autoFilter ref="A13:V103">
    <filterColumn colId="10" hiddenButton="0" showButton="1">
      <colorFilter dxfId="5"/>
    </filterColumn>
  </autoFilter>
  <mergeCells count="2">
    <mergeCell ref="A10:V10"/>
    <mergeCell ref="A7:V9"/>
  </mergeCells>
  <pageMargins left="0.7" right="0.7" top="0.75" bottom="0.75" header="0.3" footer="0.3"/>
  <pageSetup orientation="portrait" scale="52" horizontalDpi="4294967295" verticalDpi="4294967295"/>
</worksheet>
</file>

<file path=xl/worksheets/sheet18.xml><?xml version="1.0" encoding="utf-8"?>
<worksheet xmlns="http://schemas.openxmlformats.org/spreadsheetml/2006/main">
  <sheetPr codeName="Sheet16">
    <outlinePr summaryBelow="1" summaryRight="1"/>
    <pageSetUpPr/>
  </sheetPr>
  <dimension ref="A1:E44"/>
  <sheetViews>
    <sheetView view="pageBreakPreview" zoomScale="85" zoomScaleSheetLayoutView="85" workbookViewId="0">
      <selection activeCell="A77" sqref="A77:E77"/>
    </sheetView>
  </sheetViews>
  <sheetFormatPr baseColWidth="8" defaultColWidth="9" defaultRowHeight="15"/>
  <cols>
    <col width="4.42578125" customWidth="1" min="1" max="1"/>
    <col width="12.7109375" customWidth="1" style="238" min="2" max="2"/>
    <col width="50.7109375" customWidth="1" min="3" max="3"/>
    <col width="12.5703125" customWidth="1" min="4" max="4"/>
    <col width="14.85546875" bestFit="1" customWidth="1" min="5" max="5"/>
  </cols>
  <sheetData>
    <row r="1">
      <c r="A1" s="1" t="n"/>
    </row>
    <row r="2" ht="18.75" customHeight="1">
      <c r="A2" s="1395" t="inlineStr">
        <is>
          <t>MONTHLY ENTRIES FOR M/s. SUN REALTY-ATMOSPHERE</t>
        </is>
      </c>
      <c r="B2" s="972" t="n"/>
      <c r="C2" s="972" t="n"/>
      <c r="D2" s="972" t="n"/>
      <c r="E2" s="973" t="n"/>
    </row>
    <row r="3">
      <c r="A3" s="1396">
        <f>+'ENTRIES-SUN REALTY'!A3:E3</f>
        <v/>
      </c>
      <c r="B3" s="972" t="n"/>
      <c r="C3" s="972" t="n"/>
      <c r="D3" s="972" t="n"/>
      <c r="E3" s="973" t="n"/>
    </row>
    <row r="4"/>
    <row r="5">
      <c r="A5" s="1397" t="inlineStr">
        <is>
          <t>Sr. No.</t>
        </is>
      </c>
      <c r="B5" s="1398" t="inlineStr">
        <is>
          <t>Date</t>
        </is>
      </c>
      <c r="C5" s="1399" t="inlineStr">
        <is>
          <t>Particulars</t>
        </is>
      </c>
      <c r="D5" s="265" t="inlineStr">
        <is>
          <t>Amt(Rs.)</t>
        </is>
      </c>
      <c r="E5" s="265" t="inlineStr">
        <is>
          <t>Amt(Rs.)</t>
        </is>
      </c>
    </row>
    <row r="6">
      <c r="A6" s="979" t="n"/>
      <c r="B6" s="970" t="n"/>
      <c r="C6" s="979" t="n"/>
      <c r="D6" s="266" t="inlineStr">
        <is>
          <t>Dr.</t>
        </is>
      </c>
      <c r="E6" s="266" t="inlineStr">
        <is>
          <t>Cr.</t>
        </is>
      </c>
    </row>
    <row r="7">
      <c r="A7" s="2" t="n"/>
      <c r="B7" s="239" t="n"/>
      <c r="C7" s="2" t="n"/>
      <c r="D7" s="3" t="n"/>
      <c r="E7" s="3" t="n"/>
    </row>
    <row r="8">
      <c r="A8" s="4" t="n">
        <v>1</v>
      </c>
      <c r="B8" s="248">
        <f>+'ENTRIES-SUN REALTY'!B15</f>
        <v/>
      </c>
      <c r="C8" s="5" t="inlineStr">
        <is>
          <t>CGST on collection  A/c                                   Dr</t>
        </is>
      </c>
      <c r="D8" s="1197">
        <f>'SUN REALTY ATMOS-CALC'!D32</f>
        <v/>
      </c>
      <c r="E8" s="1400" t="n"/>
    </row>
    <row r="9">
      <c r="A9" s="4" t="n"/>
      <c r="B9" s="248" t="n"/>
      <c r="C9" s="5" t="inlineStr">
        <is>
          <t>SGST on collection  A/c                                   Dr</t>
        </is>
      </c>
      <c r="D9" s="1197">
        <f>'SUN REALTY ATMOS-CALC'!E32</f>
        <v/>
      </c>
      <c r="E9" s="1400" t="n"/>
    </row>
    <row r="10">
      <c r="A10" s="8" t="n"/>
      <c r="B10" s="249" t="n"/>
      <c r="C10" s="5" t="inlineStr">
        <is>
          <t xml:space="preserve">             To CGST payable  A/c</t>
        </is>
      </c>
      <c r="D10" s="1400" t="n"/>
      <c r="E10" s="1197">
        <f>D8</f>
        <v/>
      </c>
    </row>
    <row r="11">
      <c r="A11" s="8" t="n"/>
      <c r="B11" s="249" t="n"/>
      <c r="C11" s="5" t="inlineStr">
        <is>
          <t xml:space="preserve">             To SGST payable  A/c</t>
        </is>
      </c>
      <c r="D11" s="1400" t="n"/>
      <c r="E11" s="1197">
        <f>D9</f>
        <v/>
      </c>
    </row>
    <row r="12">
      <c r="A12" s="8" t="n"/>
      <c r="B12" s="249" t="n"/>
      <c r="C12" s="8" t="inlineStr">
        <is>
          <t>(Being gst collected transferred to gst payable</t>
        </is>
      </c>
      <c r="D12" s="1400" t="n"/>
      <c r="E12" s="1400" t="n"/>
    </row>
    <row r="13">
      <c r="A13" s="8" t="n"/>
      <c r="B13" s="249" t="n"/>
      <c r="C13" s="8" t="inlineStr">
        <is>
          <t>for the month of Apr-26)</t>
        </is>
      </c>
      <c r="D13" s="1400" t="n"/>
      <c r="E13" s="1400" t="n"/>
    </row>
    <row r="14">
      <c r="A14" s="8" t="n"/>
      <c r="B14" s="249" t="n"/>
      <c r="C14" s="8" t="n"/>
      <c r="D14" s="1400" t="n"/>
      <c r="E14" s="1400" t="n"/>
    </row>
    <row r="15">
      <c r="A15" s="4" t="n">
        <v>2</v>
      </c>
      <c r="B15" s="248">
        <f>+B8</f>
        <v/>
      </c>
      <c r="C15" s="5" t="inlineStr">
        <is>
          <t>CGST Receivable RCM  A/c                              Dr</t>
        </is>
      </c>
      <c r="D15" s="1197">
        <f>'SUN REALTY ATMOS-CALC'!D53</f>
        <v/>
      </c>
      <c r="E15" s="1400" t="n"/>
    </row>
    <row r="16">
      <c r="A16" s="4" t="n"/>
      <c r="B16" s="248" t="n"/>
      <c r="C16" s="5" t="inlineStr">
        <is>
          <t>SGST Receivable RCM  A/c                              Dr</t>
        </is>
      </c>
      <c r="D16" s="1197">
        <f>'SUN REALTY ATMOS-CALC'!E53</f>
        <v/>
      </c>
      <c r="E16" s="1400" t="n"/>
    </row>
    <row r="17">
      <c r="A17" s="8" t="n"/>
      <c r="B17" s="249" t="n"/>
      <c r="C17" s="5" t="inlineStr">
        <is>
          <t xml:space="preserve">             To CGST payable  A/c</t>
        </is>
      </c>
      <c r="D17" s="1400" t="n"/>
      <c r="E17" s="1197">
        <f>+D15</f>
        <v/>
      </c>
    </row>
    <row r="18">
      <c r="A18" s="8" t="n"/>
      <c r="B18" s="249" t="n"/>
      <c r="C18" s="5" t="inlineStr">
        <is>
          <t xml:space="preserve">             To SGST payable  A/c</t>
        </is>
      </c>
      <c r="D18" s="1400" t="n"/>
      <c r="E18" s="1197">
        <f>+D16</f>
        <v/>
      </c>
    </row>
    <row r="19">
      <c r="A19" s="8" t="n"/>
      <c r="B19" s="249" t="n"/>
      <c r="C19" s="8" t="inlineStr">
        <is>
          <t xml:space="preserve">(Being GST payable under RCM transferred to </t>
        </is>
      </c>
      <c r="D19" s="1400" t="n"/>
      <c r="E19" s="1400" t="n"/>
    </row>
    <row r="20">
      <c r="A20" s="8" t="n"/>
      <c r="B20" s="249" t="n"/>
      <c r="C20" s="8" t="inlineStr">
        <is>
          <t>GST payabel A/C for the month of Apr-26)</t>
        </is>
      </c>
      <c r="D20" s="1400" t="n"/>
      <c r="E20" s="1400" t="n"/>
    </row>
    <row r="21">
      <c r="A21" s="8" t="n"/>
      <c r="B21" s="249" t="n"/>
      <c r="C21" s="8" t="n"/>
      <c r="D21" s="1400" t="n"/>
      <c r="E21" s="1400" t="n"/>
    </row>
    <row r="22">
      <c r="A22" s="4" t="n">
        <v>3</v>
      </c>
      <c r="B22" s="248">
        <f>+B15</f>
        <v/>
      </c>
      <c r="C22" s="5" t="inlineStr">
        <is>
          <t>CGST Exp         A/c                               Dr</t>
        </is>
      </c>
      <c r="D22" s="1197">
        <f>E24</f>
        <v/>
      </c>
      <c r="E22" s="1197" t="n"/>
    </row>
    <row r="23">
      <c r="A23" s="4" t="n"/>
      <c r="B23" s="248" t="n"/>
      <c r="C23" s="5" t="inlineStr">
        <is>
          <t>SGST Exp         A/c                               Dr</t>
        </is>
      </c>
      <c r="D23" s="1197">
        <f>E25</f>
        <v/>
      </c>
      <c r="E23" s="1197" t="n"/>
    </row>
    <row r="24">
      <c r="A24" s="8" t="n"/>
      <c r="B24" s="249" t="n"/>
      <c r="C24" s="5" t="inlineStr">
        <is>
          <t xml:space="preserve">             To CGST Receivable RCM  A/c</t>
        </is>
      </c>
      <c r="D24" s="1197" t="n"/>
      <c r="E24" s="1197">
        <f>D15</f>
        <v/>
      </c>
    </row>
    <row r="25">
      <c r="A25" s="8" t="n"/>
      <c r="B25" s="249" t="n"/>
      <c r="C25" s="5" t="inlineStr">
        <is>
          <t xml:space="preserve">             To SGST Receivable RCM  A/c</t>
        </is>
      </c>
      <c r="D25" s="1197" t="n"/>
      <c r="E25" s="1197">
        <f>D16</f>
        <v/>
      </c>
    </row>
    <row r="26">
      <c r="A26" s="8" t="n"/>
      <c r="B26" s="249" t="n"/>
      <c r="C26" s="8" t="inlineStr">
        <is>
          <t>(Being Credit of RCM transferred to Exp</t>
        </is>
      </c>
      <c r="D26" s="8" t="n"/>
      <c r="E26" s="8" t="n"/>
    </row>
    <row r="27">
      <c r="A27" s="8" t="n"/>
      <c r="B27" s="249" t="n"/>
      <c r="C27" s="8" t="inlineStr">
        <is>
          <t>A/c for the month of Apr-26)</t>
        </is>
      </c>
      <c r="D27" s="8" t="n"/>
      <c r="E27" s="8" t="n"/>
    </row>
    <row r="28">
      <c r="A28" s="8" t="n"/>
      <c r="B28" s="249" t="n"/>
      <c r="C28" s="8" t="n"/>
      <c r="D28" s="8" t="n"/>
      <c r="E28" s="8" t="n"/>
    </row>
    <row r="29">
      <c r="A29" s="8" t="n"/>
      <c r="B29" s="249" t="n"/>
      <c r="C29" s="8" t="n"/>
      <c r="D29" s="8" t="n"/>
      <c r="E29" s="8" t="n"/>
    </row>
    <row r="30">
      <c r="A30" s="267" t="n">
        <v>4</v>
      </c>
      <c r="B30" s="273">
        <f>+'ENTRIES-SUN REALTY'!B36</f>
        <v/>
      </c>
      <c r="C30" s="269" t="inlineStr">
        <is>
          <t>CGST payable  A/c                                         Dr.</t>
        </is>
      </c>
      <c r="D30" s="1401">
        <f>'SUN REALTY ATMOS-CALC'!B77</f>
        <v/>
      </c>
      <c r="E30" s="1401" t="n"/>
    </row>
    <row r="31">
      <c r="A31" s="267" t="n"/>
      <c r="B31" s="274" t="n"/>
      <c r="C31" s="269" t="inlineStr">
        <is>
          <t>SGST payable  A/c                                         Dr.</t>
        </is>
      </c>
      <c r="D31" s="1401">
        <f>'SUN REALTY ATMOS-CALC'!C77</f>
        <v/>
      </c>
      <c r="E31" s="1401" t="n"/>
    </row>
    <row r="32">
      <c r="A32" s="267" t="n"/>
      <c r="B32" s="274" t="n"/>
      <c r="C32" s="269" t="inlineStr">
        <is>
          <t>GST Late Payment Int A/c                               Dr.</t>
        </is>
      </c>
      <c r="D32" s="1401" t="n">
        <v>0</v>
      </c>
      <c r="E32" s="1401" t="n"/>
    </row>
    <row r="33">
      <c r="A33" s="267" t="n"/>
      <c r="B33" s="269" t="n"/>
      <c r="C33" s="269" t="inlineStr">
        <is>
          <t xml:space="preserve">                   To BANK  A/c</t>
        </is>
      </c>
      <c r="D33" s="1401" t="n"/>
      <c r="E33" s="1401">
        <f>+D30+D31+D32-1</f>
        <v/>
      </c>
    </row>
    <row r="34">
      <c r="A34" s="267" t="n"/>
      <c r="B34" s="269" t="n"/>
      <c r="C34" s="272" t="inlineStr">
        <is>
          <t>(Being amount of GST PAID)</t>
        </is>
      </c>
      <c r="D34" s="1401" t="n"/>
      <c r="E34" s="1401" t="n"/>
    </row>
    <row r="35">
      <c r="A35" s="4" t="n"/>
      <c r="B35" s="5" t="n"/>
      <c r="C35" s="8" t="n"/>
      <c r="D35" s="1197" t="n"/>
      <c r="E35" s="1197" t="n"/>
    </row>
    <row r="36">
      <c r="A36" s="4" t="n"/>
      <c r="B36" s="5" t="n"/>
      <c r="C36" s="8" t="n"/>
      <c r="D36" s="1197" t="n"/>
      <c r="E36" s="991" t="n"/>
    </row>
    <row r="37">
      <c r="A37" s="4" t="n"/>
      <c r="B37" s="5" t="n"/>
      <c r="C37" s="8" t="n"/>
      <c r="D37" s="1197" t="n"/>
      <c r="E37" s="991" t="n"/>
    </row>
    <row r="38">
      <c r="A38" s="4" t="n"/>
      <c r="B38" s="5" t="n"/>
      <c r="C38" s="8" t="n"/>
      <c r="D38" s="1197" t="n"/>
      <c r="E38" s="991" t="n"/>
    </row>
    <row r="39">
      <c r="A39" s="4" t="n"/>
      <c r="B39" s="5" t="n"/>
      <c r="C39" s="8" t="n"/>
      <c r="D39" s="1197" t="n"/>
      <c r="E39" s="991" t="n"/>
    </row>
    <row r="40">
      <c r="A40" s="4" t="n"/>
      <c r="B40" s="5" t="n"/>
      <c r="C40" s="8" t="n"/>
      <c r="D40" s="1197" t="n"/>
      <c r="E40" s="991" t="n"/>
    </row>
    <row r="41">
      <c r="A41" s="4" t="n"/>
      <c r="B41" s="5" t="n"/>
      <c r="C41" s="8" t="n"/>
      <c r="D41" s="1197" t="n"/>
    </row>
    <row r="42">
      <c r="A42" s="4" t="n"/>
      <c r="B42" s="5" t="n"/>
      <c r="C42" s="8" t="n"/>
      <c r="D42" s="1197" t="n"/>
      <c r="E42" s="1197" t="n"/>
    </row>
    <row r="43">
      <c r="A43" s="9" t="n"/>
      <c r="B43" s="243" t="n"/>
      <c r="C43" s="10" t="n"/>
      <c r="D43" s="1419" t="n"/>
      <c r="E43" s="1419" t="n"/>
    </row>
    <row r="44">
      <c r="E44" s="1197" t="n"/>
    </row>
  </sheetData>
  <mergeCells count="5">
    <mergeCell ref="A5:A6"/>
    <mergeCell ref="A2:E2"/>
    <mergeCell ref="A3:E3"/>
    <mergeCell ref="B5:B6"/>
    <mergeCell ref="C5:C6"/>
  </mergeCells>
  <pageMargins left="0.7" right="0.7" top="0.75" bottom="0.75" header="0.3" footer="0.3"/>
  <pageSetup orientation="portrait" paperSize="9" scale="74"/>
</worksheet>
</file>

<file path=xl/worksheets/sheet19.xml><?xml version="1.0" encoding="utf-8"?>
<worksheet xmlns="http://schemas.openxmlformats.org/spreadsheetml/2006/main">
  <sheetPr codeName="Sheet17">
    <outlinePr summaryBelow="1" summaryRight="1"/>
    <pageSetUpPr/>
  </sheetPr>
  <dimension ref="A1:E39"/>
  <sheetViews>
    <sheetView view="pageBreakPreview" zoomScaleSheetLayoutView="100" workbookViewId="0">
      <selection activeCell="A2" sqref="A2:E39"/>
    </sheetView>
  </sheetViews>
  <sheetFormatPr baseColWidth="8" defaultColWidth="9" defaultRowHeight="15"/>
  <cols>
    <col width="5" customWidth="1" min="1" max="1"/>
    <col width="11.7109375" customWidth="1" style="238" min="2" max="2"/>
    <col width="45.85546875" customWidth="1" min="3" max="3"/>
    <col width="13.42578125" bestFit="1" customWidth="1" min="4" max="4"/>
    <col width="14.85546875" bestFit="1" customWidth="1" min="5" max="5"/>
  </cols>
  <sheetData>
    <row r="1" ht="15.75" customHeight="1" thickBot="1">
      <c r="A1" s="1" t="n"/>
    </row>
    <row r="2" ht="19.5" customHeight="1" thickBot="1">
      <c r="A2" s="1395" t="inlineStr">
        <is>
          <t>MONTHLY ENTRIES FOR M/s. SUN REALTY-FOOTPRINT</t>
        </is>
      </c>
      <c r="B2" s="972" t="n"/>
      <c r="C2" s="972" t="n"/>
      <c r="D2" s="972" t="n"/>
      <c r="E2" s="973" t="n"/>
    </row>
    <row r="3" ht="15.75" customHeight="1" thickBot="1">
      <c r="A3" s="1396">
        <f>+'ENTRIES-ATMOSPHERE'!A3:E3</f>
        <v/>
      </c>
      <c r="B3" s="972" t="n"/>
      <c r="C3" s="972" t="n"/>
      <c r="D3" s="972" t="n"/>
      <c r="E3" s="973" t="n"/>
    </row>
    <row r="4" ht="15.75" customHeight="1" thickBot="1"/>
    <row r="5" ht="15.75" customHeight="1" thickBot="1">
      <c r="A5" s="1397" t="inlineStr">
        <is>
          <t>Sr. No.</t>
        </is>
      </c>
      <c r="B5" s="1398" t="inlineStr">
        <is>
          <t>Date</t>
        </is>
      </c>
      <c r="C5" s="1399" t="inlineStr">
        <is>
          <t>Particulars</t>
        </is>
      </c>
      <c r="D5" s="265" t="inlineStr">
        <is>
          <t>Amt(Rs.)</t>
        </is>
      </c>
      <c r="E5" s="265" t="inlineStr">
        <is>
          <t>Amt(Rs.)</t>
        </is>
      </c>
    </row>
    <row r="6" ht="15.75" customHeight="1" thickBot="1">
      <c r="A6" s="979" t="n"/>
      <c r="B6" s="970" t="n"/>
      <c r="C6" s="979" t="n"/>
      <c r="D6" s="266" t="inlineStr">
        <is>
          <t>Dr.</t>
        </is>
      </c>
      <c r="E6" s="266" t="inlineStr">
        <is>
          <t>Cr.</t>
        </is>
      </c>
    </row>
    <row r="7">
      <c r="A7" s="2" t="n"/>
      <c r="B7" s="239" t="n"/>
      <c r="C7" s="2" t="n"/>
      <c r="D7" s="3" t="n"/>
      <c r="E7" s="3" t="n"/>
    </row>
    <row r="8">
      <c r="A8" s="4" t="n">
        <v>1</v>
      </c>
      <c r="B8" s="248">
        <f>+'ENTRIES-ATMOSPHERE'!B8</f>
        <v/>
      </c>
      <c r="C8" s="5" t="inlineStr">
        <is>
          <t>CGST on collection  A/c                                   Dr</t>
        </is>
      </c>
      <c r="D8" s="1197">
        <f>'FOOTPRINT- CALCULATION'!D14</f>
        <v/>
      </c>
      <c r="E8" s="1400" t="n"/>
    </row>
    <row r="9">
      <c r="A9" s="4" t="n"/>
      <c r="B9" s="248" t="n"/>
      <c r="C9" s="5" t="inlineStr">
        <is>
          <t>SGST on collection  A/c                                   Dr</t>
        </is>
      </c>
      <c r="D9" s="1197">
        <f>'FOOTPRINT- CALCULATION'!E14</f>
        <v/>
      </c>
      <c r="E9" s="1400" t="n"/>
    </row>
    <row r="10">
      <c r="A10" s="8" t="n"/>
      <c r="B10" s="249" t="n"/>
      <c r="C10" s="5" t="inlineStr">
        <is>
          <t xml:space="preserve">             To CGST payable  A/c</t>
        </is>
      </c>
      <c r="D10" s="1400" t="n"/>
      <c r="E10" s="1197">
        <f>D8</f>
        <v/>
      </c>
    </row>
    <row r="11">
      <c r="A11" s="8" t="n"/>
      <c r="B11" s="249" t="n"/>
      <c r="C11" s="5" t="inlineStr">
        <is>
          <t xml:space="preserve">             To SGST payable  A/c</t>
        </is>
      </c>
      <c r="D11" s="1400" t="n"/>
      <c r="E11" s="1197">
        <f>D9</f>
        <v/>
      </c>
    </row>
    <row r="12">
      <c r="A12" s="8" t="n"/>
      <c r="B12" s="249" t="n"/>
      <c r="C12" s="8" t="inlineStr">
        <is>
          <t>(Being gst collected transferred to gst payable</t>
        </is>
      </c>
      <c r="D12" s="1400" t="n"/>
      <c r="E12" s="1400" t="n"/>
    </row>
    <row r="13">
      <c r="A13" s="8" t="n"/>
      <c r="B13" s="249" t="n"/>
      <c r="C13" s="8" t="inlineStr">
        <is>
          <t>for the month of Apr-26)</t>
        </is>
      </c>
      <c r="D13" s="1400" t="n"/>
      <c r="E13" s="1400" t="n"/>
    </row>
    <row r="14">
      <c r="A14" s="8" t="n"/>
      <c r="B14" s="249" t="n"/>
      <c r="C14" s="8" t="n"/>
      <c r="D14" s="1400" t="n"/>
      <c r="E14" s="1400" t="n"/>
    </row>
    <row r="15">
      <c r="A15" s="4" t="n">
        <v>2</v>
      </c>
      <c r="B15" s="248">
        <f>+B8</f>
        <v/>
      </c>
      <c r="C15" s="5" t="inlineStr">
        <is>
          <t>CGST Receivable RCM  A/c                              Dr</t>
        </is>
      </c>
      <c r="D15" s="1197">
        <f>'FOOTPRINT- CALCULATION'!D31</f>
        <v/>
      </c>
      <c r="E15" s="1400" t="n"/>
    </row>
    <row r="16">
      <c r="A16" s="4" t="n"/>
      <c r="B16" s="248" t="n"/>
      <c r="C16" s="5" t="inlineStr">
        <is>
          <t>SGST Receivable RCM  A/c                              Dr</t>
        </is>
      </c>
      <c r="D16" s="1197">
        <f>'FOOTPRINT- CALCULATION'!E31</f>
        <v/>
      </c>
      <c r="E16" s="1400" t="n"/>
    </row>
    <row r="17">
      <c r="A17" s="8" t="n"/>
      <c r="B17" s="249" t="n"/>
      <c r="C17" s="5" t="inlineStr">
        <is>
          <t xml:space="preserve">             To CGST payable  A/c</t>
        </is>
      </c>
      <c r="D17" s="1400" t="n"/>
      <c r="E17" s="1197">
        <f>+D15</f>
        <v/>
      </c>
    </row>
    <row r="18">
      <c r="A18" s="8" t="n"/>
      <c r="B18" s="249" t="n"/>
      <c r="C18" s="5" t="inlineStr">
        <is>
          <t xml:space="preserve">             To SGST payable  A/c</t>
        </is>
      </c>
      <c r="D18" s="1400" t="n"/>
      <c r="E18" s="1197">
        <f>+D16</f>
        <v/>
      </c>
    </row>
    <row r="19">
      <c r="A19" s="8" t="n"/>
      <c r="B19" s="249" t="n"/>
      <c r="C19" s="8" t="inlineStr">
        <is>
          <t xml:space="preserve">(Being GST payable under RCM transferred to </t>
        </is>
      </c>
      <c r="D19" s="1400" t="n"/>
      <c r="E19" s="1400" t="n"/>
    </row>
    <row r="20">
      <c r="A20" s="8" t="n"/>
      <c r="B20" s="249" t="n"/>
      <c r="C20" s="8" t="inlineStr">
        <is>
          <t>GST payabel A/C for the month of Apr-26)</t>
        </is>
      </c>
      <c r="D20" s="1400" t="n"/>
      <c r="E20" s="1400" t="n"/>
    </row>
    <row r="21">
      <c r="A21" s="8" t="n"/>
      <c r="B21" s="249" t="n"/>
      <c r="C21" s="8" t="n"/>
      <c r="D21" s="1400" t="n"/>
      <c r="E21" s="1400" t="n"/>
    </row>
    <row r="22">
      <c r="A22" s="4" t="n">
        <v>3</v>
      </c>
      <c r="B22" s="248">
        <f>+B15</f>
        <v/>
      </c>
      <c r="C22" s="5" t="inlineStr">
        <is>
          <t>CGST Exp         A/c                               Dr</t>
        </is>
      </c>
      <c r="D22" s="1197">
        <f>E24</f>
        <v/>
      </c>
      <c r="E22" s="1197" t="n"/>
    </row>
    <row r="23">
      <c r="A23" s="4" t="n"/>
      <c r="B23" s="248" t="n"/>
      <c r="C23" s="5" t="inlineStr">
        <is>
          <t>SGST Exp         A/c                               Dr</t>
        </is>
      </c>
      <c r="D23" s="1197">
        <f>E25</f>
        <v/>
      </c>
      <c r="E23" s="1197" t="n"/>
    </row>
    <row r="24">
      <c r="A24" s="8" t="n"/>
      <c r="B24" s="249" t="n"/>
      <c r="C24" s="5" t="inlineStr">
        <is>
          <t xml:space="preserve">             To CGST Receivable RCM  A/c</t>
        </is>
      </c>
      <c r="D24" s="1197" t="n"/>
      <c r="E24" s="1197">
        <f>D15</f>
        <v/>
      </c>
    </row>
    <row r="25">
      <c r="A25" s="8" t="n"/>
      <c r="B25" s="249" t="n"/>
      <c r="C25" s="5" t="inlineStr">
        <is>
          <t xml:space="preserve">             To SGST Receivable RCM  A/c</t>
        </is>
      </c>
      <c r="D25" s="1197" t="n"/>
      <c r="E25" s="1197">
        <f>D16</f>
        <v/>
      </c>
    </row>
    <row r="26">
      <c r="A26" s="8" t="n"/>
      <c r="B26" s="249" t="n"/>
      <c r="C26" s="8" t="inlineStr">
        <is>
          <t>(Being Credit of RCM transferred to Exp</t>
        </is>
      </c>
      <c r="D26" s="8" t="n"/>
      <c r="E26" s="8" t="n"/>
    </row>
    <row r="27">
      <c r="A27" s="8" t="n"/>
      <c r="B27" s="249" t="n"/>
      <c r="C27" s="8" t="inlineStr">
        <is>
          <t>A/c for the month of Apr-26)</t>
        </is>
      </c>
      <c r="D27" s="8" t="n"/>
      <c r="E27" s="8" t="n"/>
    </row>
    <row r="28">
      <c r="A28" s="8" t="n"/>
      <c r="B28" s="249" t="n"/>
      <c r="C28" s="8" t="n"/>
      <c r="D28" s="8" t="n"/>
      <c r="E28" s="8" t="n"/>
    </row>
    <row r="29">
      <c r="A29" s="8" t="n"/>
      <c r="B29" s="249" t="n"/>
      <c r="C29" s="8" t="n"/>
      <c r="D29" s="8" t="n"/>
      <c r="E29" s="8" t="n"/>
    </row>
    <row r="30">
      <c r="A30" s="267" t="n">
        <v>4</v>
      </c>
      <c r="B30" s="273">
        <f>+'ENTRIES-ATMOSPHERE'!B30</f>
        <v/>
      </c>
      <c r="C30" s="269" t="inlineStr">
        <is>
          <t>CGST payable  A/c                                         Dr.</t>
        </is>
      </c>
      <c r="D30" s="1401">
        <f>+'FINAL CALC'!B144</f>
        <v/>
      </c>
      <c r="E30" s="1401" t="n"/>
    </row>
    <row r="31">
      <c r="A31" s="267" t="n"/>
      <c r="B31" s="274" t="n"/>
      <c r="C31" s="269" t="inlineStr">
        <is>
          <t>SGST payable  A/c                                         Dr.</t>
        </is>
      </c>
      <c r="D31" s="1401">
        <f>+D30</f>
        <v/>
      </c>
      <c r="E31" s="1401" t="n"/>
    </row>
    <row r="32">
      <c r="A32" s="267" t="n"/>
      <c r="B32" s="274" t="n"/>
      <c r="C32" s="269" t="inlineStr">
        <is>
          <t>GST Late Payment Int A/c                               Dr.</t>
        </is>
      </c>
      <c r="D32" s="1401" t="n">
        <v>0</v>
      </c>
      <c r="E32" s="1401" t="n"/>
    </row>
    <row r="33">
      <c r="A33" s="267" t="n"/>
      <c r="B33" s="269" t="n"/>
      <c r="C33" s="269" t="inlineStr">
        <is>
          <t xml:space="preserve">                   To BANK  A/c</t>
        </is>
      </c>
      <c r="D33" s="1401" t="n"/>
      <c r="E33" s="1401">
        <f>+D30+D31+D32</f>
        <v/>
      </c>
    </row>
    <row r="34">
      <c r="A34" s="267" t="n"/>
      <c r="B34" s="269" t="n"/>
      <c r="C34" s="272" t="inlineStr">
        <is>
          <t>(Being amount of GST PAID)</t>
        </is>
      </c>
      <c r="D34" s="1401" t="n"/>
      <c r="E34" s="1401" t="n"/>
    </row>
    <row r="35">
      <c r="A35" s="4" t="n"/>
      <c r="B35" s="5" t="n"/>
      <c r="C35" s="8" t="n"/>
      <c r="D35" s="1197" t="n"/>
      <c r="E35" s="1197" t="n"/>
    </row>
    <row r="36">
      <c r="A36" s="4" t="n"/>
      <c r="B36" s="5" t="n"/>
      <c r="C36" s="8" t="n"/>
      <c r="D36" s="1197" t="n"/>
    </row>
    <row r="37">
      <c r="A37" s="4" t="n"/>
      <c r="B37" s="5" t="n"/>
      <c r="C37" s="8" t="n"/>
      <c r="D37" s="1197" t="n"/>
      <c r="E37" s="1197" t="n"/>
    </row>
    <row r="38" ht="15.75" customHeight="1" thickBot="1">
      <c r="A38" s="9" t="n"/>
      <c r="B38" s="243" t="n"/>
      <c r="C38" s="10" t="n"/>
      <c r="D38" s="1419" t="n"/>
      <c r="E38" s="1419" t="n"/>
    </row>
    <row r="39">
      <c r="E39" s="1197" t="n"/>
    </row>
  </sheetData>
  <mergeCells count="5">
    <mergeCell ref="A5:A6"/>
    <mergeCell ref="A2:E2"/>
    <mergeCell ref="A3:E3"/>
    <mergeCell ref="B5:B6"/>
    <mergeCell ref="C5:C6"/>
  </mergeCells>
  <pageMargins left="0.7" right="0.7" top="0.75" bottom="0.75" header="0.3" footer="0.3"/>
  <pageSetup orientation="portrait" scale="76"/>
</worksheet>
</file>

<file path=xl/worksheets/sheet20.xml><?xml version="1.0" encoding="utf-8"?>
<worksheet xmlns="http://schemas.openxmlformats.org/spreadsheetml/2006/main">
  <sheetPr codeName="Sheet18">
    <outlinePr summaryBelow="1" summaryRight="1"/>
    <pageSetUpPr/>
  </sheetPr>
  <dimension ref="A1:E39"/>
  <sheetViews>
    <sheetView view="pageBreakPreview" zoomScaleSheetLayoutView="100" workbookViewId="0">
      <selection activeCell="A2" sqref="A2:E39"/>
    </sheetView>
  </sheetViews>
  <sheetFormatPr baseColWidth="8" defaultRowHeight="15"/>
  <cols>
    <col width="5" customWidth="1" min="1" max="1"/>
    <col width="11.7109375" customWidth="1" min="2" max="2"/>
    <col width="50.7109375" bestFit="1" customWidth="1" min="3" max="3"/>
    <col width="13.42578125" bestFit="1" customWidth="1" min="4" max="5"/>
  </cols>
  <sheetData>
    <row r="1" ht="15.75" customHeight="1" thickBot="1">
      <c r="A1" s="1" t="n"/>
    </row>
    <row r="2" ht="19.5" customHeight="1" thickBot="1">
      <c r="A2" s="1395" t="inlineStr">
        <is>
          <t>MONTHLY ENTRIES FOR M/s. SUN REALTY- SUN PARK WEST</t>
        </is>
      </c>
      <c r="B2" s="972" t="n"/>
      <c r="C2" s="972" t="n"/>
      <c r="D2" s="972" t="n"/>
      <c r="E2" s="973" t="n"/>
    </row>
    <row r="3" ht="15.75" customHeight="1" thickBot="1">
      <c r="A3" s="1396">
        <f>+'ENTRIES-FOOTPRINT'!A3:E3</f>
        <v/>
      </c>
      <c r="B3" s="972" t="n"/>
      <c r="C3" s="972" t="n"/>
      <c r="D3" s="972" t="n"/>
      <c r="E3" s="973" t="n"/>
    </row>
    <row r="4" ht="15.75" customHeight="1" thickBot="1"/>
    <row r="5" ht="15.75" customHeight="1" thickBot="1">
      <c r="A5" s="1397" t="inlineStr">
        <is>
          <t>Sr. No.</t>
        </is>
      </c>
      <c r="B5" s="1420" t="inlineStr">
        <is>
          <t>Date</t>
        </is>
      </c>
      <c r="C5" s="1399" t="inlineStr">
        <is>
          <t>Particulars</t>
        </is>
      </c>
      <c r="D5" s="265" t="inlineStr">
        <is>
          <t>Amt(Rs.)</t>
        </is>
      </c>
      <c r="E5" s="265" t="inlineStr">
        <is>
          <t>Amt(Rs.)</t>
        </is>
      </c>
    </row>
    <row r="6" ht="15.75" customHeight="1" thickBot="1">
      <c r="A6" s="979" t="n"/>
      <c r="B6" s="970" t="n"/>
      <c r="C6" s="979" t="n"/>
      <c r="D6" s="266" t="inlineStr">
        <is>
          <t>Dr.</t>
        </is>
      </c>
      <c r="E6" s="266" t="inlineStr">
        <is>
          <t>Cr.</t>
        </is>
      </c>
    </row>
    <row r="7">
      <c r="A7" s="2" t="n"/>
      <c r="B7" s="2" t="n"/>
      <c r="C7" s="2" t="n"/>
      <c r="D7" s="3" t="n"/>
      <c r="E7" s="3" t="n"/>
    </row>
    <row r="8">
      <c r="A8" s="4" t="n">
        <v>1</v>
      </c>
      <c r="B8" s="248">
        <f>+'ENTRIES-ATMOSPHERE'!B8</f>
        <v/>
      </c>
      <c r="C8" s="5" t="inlineStr">
        <is>
          <t>CGST on collection  A/c                                   Dr</t>
        </is>
      </c>
      <c r="D8" s="1197">
        <f>+'SUN PARK WEST'!D17</f>
        <v/>
      </c>
      <c r="E8" s="1400" t="n"/>
    </row>
    <row r="9">
      <c r="A9" s="4" t="n"/>
      <c r="B9" s="248" t="n"/>
      <c r="C9" s="5" t="inlineStr">
        <is>
          <t>SGST on collection  A/c                                   Dr</t>
        </is>
      </c>
      <c r="D9" s="1197">
        <f>+'SUN PARK WEST'!E17</f>
        <v/>
      </c>
      <c r="E9" s="1400" t="n"/>
    </row>
    <row r="10">
      <c r="A10" s="8" t="n"/>
      <c r="B10" s="249" t="n"/>
      <c r="C10" s="5" t="inlineStr">
        <is>
          <t xml:space="preserve">             To CGST payable  A/c</t>
        </is>
      </c>
      <c r="D10" s="1400" t="n"/>
      <c r="E10" s="1197">
        <f>D8</f>
        <v/>
      </c>
    </row>
    <row r="11">
      <c r="A11" s="8" t="n"/>
      <c r="B11" s="249" t="n"/>
      <c r="C11" s="5" t="inlineStr">
        <is>
          <t xml:space="preserve">             To SGST payable  A/c</t>
        </is>
      </c>
      <c r="D11" s="1400" t="n"/>
      <c r="E11" s="1197">
        <f>D9</f>
        <v/>
      </c>
    </row>
    <row r="12">
      <c r="A12" s="8" t="n"/>
      <c r="B12" s="249" t="n"/>
      <c r="C12" s="8" t="inlineStr">
        <is>
          <t>(Being gst collected transferred to gst payable</t>
        </is>
      </c>
      <c r="D12" s="1400" t="n"/>
      <c r="E12" s="1400" t="n"/>
    </row>
    <row r="13">
      <c r="A13" s="8" t="n"/>
      <c r="B13" s="249" t="n"/>
      <c r="C13" s="8" t="inlineStr">
        <is>
          <t>for the month of Apr-26)</t>
        </is>
      </c>
      <c r="D13" s="1400" t="n"/>
      <c r="E13" s="1400" t="n"/>
    </row>
    <row r="14">
      <c r="A14" s="8" t="n"/>
      <c r="B14" s="249" t="n"/>
      <c r="C14" s="8" t="n"/>
      <c r="D14" s="1400" t="n"/>
      <c r="E14" s="1400" t="n"/>
    </row>
    <row r="15">
      <c r="A15" s="4" t="n">
        <v>2</v>
      </c>
      <c r="B15" s="248">
        <f>+B8</f>
        <v/>
      </c>
      <c r="C15" s="5" t="inlineStr">
        <is>
          <t>CGST Receivable RCM  A/c                              Dr</t>
        </is>
      </c>
      <c r="D15" s="1197">
        <f>+'SUN PARK WEST'!D29</f>
        <v/>
      </c>
      <c r="E15" s="1400" t="n"/>
    </row>
    <row r="16">
      <c r="A16" s="4" t="n"/>
      <c r="B16" s="248" t="n"/>
      <c r="C16" s="5" t="inlineStr">
        <is>
          <t>SGST Receivable RCM  A/c                              Dr</t>
        </is>
      </c>
      <c r="D16" s="1197">
        <f>+'SUN PARK WEST'!E29</f>
        <v/>
      </c>
      <c r="E16" s="1400" t="n"/>
    </row>
    <row r="17">
      <c r="A17" s="8" t="n"/>
      <c r="B17" s="249" t="n"/>
      <c r="C17" s="5" t="inlineStr">
        <is>
          <t xml:space="preserve">             To CGST payable  A/c</t>
        </is>
      </c>
      <c r="D17" s="1400" t="n"/>
      <c r="E17" s="1197">
        <f>+D15</f>
        <v/>
      </c>
    </row>
    <row r="18">
      <c r="A18" s="8" t="n"/>
      <c r="B18" s="249" t="n"/>
      <c r="C18" s="5" t="inlineStr">
        <is>
          <t xml:space="preserve">             To SGST payable  A/c</t>
        </is>
      </c>
      <c r="D18" s="1400" t="n"/>
      <c r="E18" s="1197">
        <f>+D16</f>
        <v/>
      </c>
    </row>
    <row r="19">
      <c r="A19" s="8" t="n"/>
      <c r="B19" s="249" t="n"/>
      <c r="C19" s="8" t="inlineStr">
        <is>
          <t xml:space="preserve">(Being GST payable under RCM transferred to </t>
        </is>
      </c>
      <c r="D19" s="1400" t="n"/>
      <c r="E19" s="1400" t="n"/>
    </row>
    <row r="20">
      <c r="A20" s="8" t="n"/>
      <c r="B20" s="249" t="n"/>
      <c r="C20" s="8" t="inlineStr">
        <is>
          <t>GST payabel A/C for the month of Apr-26)</t>
        </is>
      </c>
      <c r="D20" s="1400" t="n"/>
      <c r="E20" s="1400" t="n"/>
    </row>
    <row r="21">
      <c r="A21" s="8" t="n"/>
      <c r="B21" s="249" t="n"/>
      <c r="C21" s="8" t="n"/>
      <c r="D21" s="1400" t="n"/>
      <c r="E21" s="1400" t="n"/>
    </row>
    <row r="22">
      <c r="A22" s="4" t="n">
        <v>3</v>
      </c>
      <c r="B22" s="248">
        <f>+B15</f>
        <v/>
      </c>
      <c r="C22" s="5" t="inlineStr">
        <is>
          <t>CGST Exp         A/c                               Dr</t>
        </is>
      </c>
      <c r="D22" s="1197">
        <f>E24</f>
        <v/>
      </c>
      <c r="E22" s="1197" t="n"/>
    </row>
    <row r="23">
      <c r="A23" s="4" t="n"/>
      <c r="B23" s="248" t="n"/>
      <c r="C23" s="5" t="inlineStr">
        <is>
          <t>SGST Exp         A/c                               Dr</t>
        </is>
      </c>
      <c r="D23" s="1197">
        <f>E25</f>
        <v/>
      </c>
      <c r="E23" s="1197" t="n"/>
    </row>
    <row r="24">
      <c r="A24" s="8" t="n"/>
      <c r="B24" s="249" t="n"/>
      <c r="C24" s="5" t="inlineStr">
        <is>
          <t xml:space="preserve">             To CGST Receivable RCM  A/c</t>
        </is>
      </c>
      <c r="D24" s="1197" t="n"/>
      <c r="E24" s="1197">
        <f>D15</f>
        <v/>
      </c>
    </row>
    <row r="25">
      <c r="A25" s="8" t="n"/>
      <c r="B25" s="249" t="n"/>
      <c r="C25" s="5" t="inlineStr">
        <is>
          <t xml:space="preserve">             To SGST Receivable RCM  A/c</t>
        </is>
      </c>
      <c r="D25" s="1197" t="n"/>
      <c r="E25" s="1197">
        <f>D16</f>
        <v/>
      </c>
    </row>
    <row r="26">
      <c r="A26" s="8" t="n"/>
      <c r="B26" s="249" t="n"/>
      <c r="C26" s="8" t="inlineStr">
        <is>
          <t>(Being Credit of RCM transferred to Exp</t>
        </is>
      </c>
      <c r="D26" s="8" t="n"/>
      <c r="E26" s="8" t="n"/>
    </row>
    <row r="27">
      <c r="A27" s="8" t="n"/>
      <c r="B27" s="249" t="n"/>
      <c r="C27" s="8" t="inlineStr">
        <is>
          <t>A/c for the month of Apr-26)</t>
        </is>
      </c>
      <c r="D27" s="8" t="n"/>
      <c r="E27" s="8" t="n"/>
    </row>
    <row r="28">
      <c r="A28" s="8" t="n"/>
      <c r="B28" s="249" t="n"/>
      <c r="C28" s="8" t="n"/>
      <c r="D28" s="8" t="n"/>
      <c r="E28" s="8" t="n"/>
    </row>
    <row r="29">
      <c r="A29" s="8" t="n"/>
      <c r="B29" s="249" t="n"/>
      <c r="C29" s="8" t="n"/>
      <c r="D29" s="8" t="n"/>
      <c r="E29" s="8" t="n"/>
    </row>
    <row r="30">
      <c r="A30" s="267" t="n">
        <v>4</v>
      </c>
      <c r="B30" s="273">
        <f>+'ENTRIES-ATMOSPHERE'!B30</f>
        <v/>
      </c>
      <c r="C30" s="269" t="inlineStr">
        <is>
          <t>CGST payable  A/c                                         Dr.</t>
        </is>
      </c>
      <c r="D30" s="1401">
        <f>+'FINAL CALC'!B148</f>
        <v/>
      </c>
      <c r="E30" s="1401" t="n"/>
    </row>
    <row r="31">
      <c r="A31" s="267" t="n"/>
      <c r="B31" s="274" t="n"/>
      <c r="C31" s="269" t="inlineStr">
        <is>
          <t>SGST payable  A/c                                         Dr.</t>
        </is>
      </c>
      <c r="D31" s="1401">
        <f>+D30</f>
        <v/>
      </c>
      <c r="E31" s="1401" t="n"/>
    </row>
    <row r="32">
      <c r="A32" s="267" t="n"/>
      <c r="B32" s="274" t="n"/>
      <c r="C32" s="269" t="inlineStr">
        <is>
          <t>GST Late Payment Int A/c                               Dr.</t>
        </is>
      </c>
      <c r="D32" s="1401" t="n">
        <v>0</v>
      </c>
      <c r="E32" s="1401" t="n"/>
    </row>
    <row r="33">
      <c r="A33" s="267" t="n"/>
      <c r="B33" s="272" t="n"/>
      <c r="C33" s="269" t="inlineStr">
        <is>
          <t xml:space="preserve">                   To BANK  A/c</t>
        </is>
      </c>
      <c r="D33" s="1401" t="n"/>
      <c r="E33" s="1401">
        <f>SUM(D30:D32)</f>
        <v/>
      </c>
    </row>
    <row r="34">
      <c r="A34" s="267" t="n"/>
      <c r="B34" s="272" t="n"/>
      <c r="C34" s="272" t="inlineStr">
        <is>
          <t>(Being amount of GST PAID)</t>
        </is>
      </c>
      <c r="D34" s="1401" t="n"/>
      <c r="E34" s="1401" t="n"/>
    </row>
    <row r="35">
      <c r="A35" s="4" t="n"/>
      <c r="B35" s="8" t="n"/>
      <c r="C35" s="8" t="n"/>
      <c r="D35" s="1197" t="n"/>
      <c r="E35" s="1197" t="n"/>
    </row>
    <row r="36">
      <c r="A36" s="234" t="n"/>
      <c r="B36" s="235" t="n"/>
      <c r="C36" s="235" t="n"/>
      <c r="D36" s="1403" t="n"/>
    </row>
    <row r="39">
      <c r="E39" s="1403" t="n"/>
    </row>
  </sheetData>
  <mergeCells count="5">
    <mergeCell ref="A5:A6"/>
    <mergeCell ref="A2:E2"/>
    <mergeCell ref="A3:E3"/>
    <mergeCell ref="B5:B6"/>
    <mergeCell ref="C5:C6"/>
  </mergeCells>
  <pageMargins left="0.7" right="0.7" top="0.75" bottom="0.75" header="0.3" footer="0.3"/>
  <pageSetup orientation="portrait" paperSize="9" scale="92"/>
</worksheet>
</file>

<file path=xl/worksheets/sheet21.xml><?xml version="1.0" encoding="utf-8"?>
<worksheet xmlns="http://schemas.openxmlformats.org/spreadsheetml/2006/main">
  <sheetPr codeName="Sheet19">
    <outlinePr summaryBelow="1" summaryRight="1"/>
    <pageSetUpPr/>
  </sheetPr>
  <dimension ref="A1:E36"/>
  <sheetViews>
    <sheetView zoomScaleNormal="100" workbookViewId="0">
      <selection activeCell="A21" sqref="A21:XFD21"/>
    </sheetView>
  </sheetViews>
  <sheetFormatPr baseColWidth="8" defaultRowHeight="15"/>
  <cols>
    <col width="6.85546875" bestFit="1" customWidth="1" min="1" max="1"/>
    <col width="9.85546875" bestFit="1" customWidth="1" min="2" max="2"/>
    <col width="52.28515625" bestFit="1" customWidth="1" min="3" max="3"/>
    <col width="12.5703125" bestFit="1" customWidth="1" min="4" max="5"/>
  </cols>
  <sheetData>
    <row r="1" ht="15.75" customHeight="1" thickBot="1">
      <c r="A1" s="1" t="n"/>
    </row>
    <row r="2" ht="19.5" customHeight="1" thickBot="1">
      <c r="A2" s="1395" t="inlineStr">
        <is>
          <t>MONTHLY ENTRIES FOR M/s. SUN REALTY- SUN SILVER SPRINGS</t>
        </is>
      </c>
      <c r="B2" s="972" t="n"/>
      <c r="C2" s="972" t="n"/>
      <c r="D2" s="972" t="n"/>
      <c r="E2" s="973" t="n"/>
    </row>
    <row r="3" ht="15.75" customHeight="1" thickBot="1">
      <c r="A3" s="1396">
        <f>+'ENTRIES-FOOTPRINT'!A3:E3</f>
        <v/>
      </c>
      <c r="B3" s="972" t="n"/>
      <c r="C3" s="972" t="n"/>
      <c r="D3" s="972" t="n"/>
      <c r="E3" s="973" t="n"/>
    </row>
    <row r="4" ht="15.75" customHeight="1" thickBot="1"/>
    <row r="5" ht="15.75" customHeight="1" thickBot="1">
      <c r="A5" s="1397" t="inlineStr">
        <is>
          <t>Sr. No.</t>
        </is>
      </c>
      <c r="B5" s="1420" t="inlineStr">
        <is>
          <t>Date</t>
        </is>
      </c>
      <c r="C5" s="1399" t="inlineStr">
        <is>
          <t>Particulars</t>
        </is>
      </c>
      <c r="D5" s="265" t="inlineStr">
        <is>
          <t>Amt(Rs.)</t>
        </is>
      </c>
      <c r="E5" s="265" t="inlineStr">
        <is>
          <t>Amt(Rs.)</t>
        </is>
      </c>
    </row>
    <row r="6" ht="15.75" customHeight="1" thickBot="1">
      <c r="A6" s="979" t="n"/>
      <c r="B6" s="970" t="n"/>
      <c r="C6" s="979" t="n"/>
      <c r="D6" s="266" t="inlineStr">
        <is>
          <t>Dr.</t>
        </is>
      </c>
      <c r="E6" s="266" t="inlineStr">
        <is>
          <t>Cr.</t>
        </is>
      </c>
    </row>
    <row r="7">
      <c r="A7" s="2" t="n"/>
      <c r="B7" s="2" t="n"/>
      <c r="C7" s="2" t="n"/>
      <c r="D7" s="3" t="n"/>
      <c r="E7" s="3" t="n"/>
    </row>
    <row r="8">
      <c r="A8" s="4" t="n">
        <v>1</v>
      </c>
      <c r="B8" s="248">
        <f>+'ENTRIES-ATMOSPHERE'!B8</f>
        <v/>
      </c>
      <c r="C8" s="5" t="inlineStr">
        <is>
          <t>CGST on collection  A/c                                   Dr</t>
        </is>
      </c>
      <c r="D8" s="1197">
        <f>+'FINAL CALC'!B115</f>
        <v/>
      </c>
      <c r="E8" s="1400" t="n"/>
    </row>
    <row r="9">
      <c r="A9" s="4" t="n"/>
      <c r="B9" s="248" t="n"/>
      <c r="C9" s="5" t="inlineStr">
        <is>
          <t>SGST on collection  A/c                                   Dr</t>
        </is>
      </c>
      <c r="D9" s="1197">
        <f>+D8</f>
        <v/>
      </c>
      <c r="E9" s="1400" t="n"/>
    </row>
    <row r="10">
      <c r="A10" s="8" t="n"/>
      <c r="B10" s="249" t="n"/>
      <c r="C10" s="5" t="inlineStr">
        <is>
          <t xml:space="preserve">             To CGST payable  A/c</t>
        </is>
      </c>
      <c r="D10" s="1400" t="n"/>
      <c r="E10" s="1197">
        <f>D8</f>
        <v/>
      </c>
    </row>
    <row r="11">
      <c r="A11" s="8" t="n"/>
      <c r="B11" s="249" t="n"/>
      <c r="C11" s="5" t="inlineStr">
        <is>
          <t xml:space="preserve">             To SGST payable  A/c</t>
        </is>
      </c>
      <c r="D11" s="1400" t="n"/>
      <c r="E11" s="1197">
        <f>D9</f>
        <v/>
      </c>
    </row>
    <row r="12">
      <c r="A12" s="8" t="n"/>
      <c r="B12" s="249" t="n"/>
      <c r="C12" s="8" t="inlineStr">
        <is>
          <t>(Being gst collected transferred to gst payable</t>
        </is>
      </c>
      <c r="D12" s="1400" t="n"/>
      <c r="E12" s="1400" t="n"/>
    </row>
    <row r="13">
      <c r="A13" s="8" t="n"/>
      <c r="B13" s="249" t="n"/>
      <c r="C13" s="8" t="inlineStr">
        <is>
          <t>for the month of Apr-26)</t>
        </is>
      </c>
      <c r="D13" s="1400" t="n"/>
      <c r="E13" s="1400" t="n"/>
    </row>
    <row r="14">
      <c r="A14" s="8" t="n"/>
      <c r="B14" s="249" t="n"/>
      <c r="C14" s="8" t="n"/>
      <c r="D14" s="1400" t="n"/>
      <c r="E14" s="1400" t="n"/>
    </row>
    <row r="15">
      <c r="A15" s="4" t="n">
        <v>2</v>
      </c>
      <c r="B15" s="248">
        <f>+B8</f>
        <v/>
      </c>
      <c r="C15" s="5" t="inlineStr">
        <is>
          <t>CGST Receivable RCM  A/c                              Dr</t>
        </is>
      </c>
      <c r="D15" s="1197">
        <f>+'FINAL CALC'!B124</f>
        <v/>
      </c>
      <c r="E15" s="1400" t="n"/>
    </row>
    <row r="16">
      <c r="A16" s="4" t="n"/>
      <c r="B16" s="248" t="n"/>
      <c r="C16" s="5" t="inlineStr">
        <is>
          <t>SGST Receivable RCM  A/c                              Dr</t>
        </is>
      </c>
      <c r="D16" s="1197">
        <f>+D15</f>
        <v/>
      </c>
      <c r="E16" s="1400" t="n"/>
    </row>
    <row r="17">
      <c r="A17" s="8" t="n"/>
      <c r="B17" s="249" t="n"/>
      <c r="C17" s="5" t="inlineStr">
        <is>
          <t xml:space="preserve">             To CGST payable  A/c</t>
        </is>
      </c>
      <c r="D17" s="1400" t="n"/>
      <c r="E17" s="1197">
        <f>+D15</f>
        <v/>
      </c>
    </row>
    <row r="18">
      <c r="A18" s="8" t="n"/>
      <c r="B18" s="249" t="n"/>
      <c r="C18" s="5" t="inlineStr">
        <is>
          <t xml:space="preserve">             To SGST payable  A/c</t>
        </is>
      </c>
      <c r="D18" s="1400" t="n"/>
      <c r="E18" s="1197">
        <f>+D16</f>
        <v/>
      </c>
    </row>
    <row r="19">
      <c r="A19" s="8" t="n"/>
      <c r="B19" s="249" t="n"/>
      <c r="C19" s="8" t="inlineStr">
        <is>
          <t xml:space="preserve">(Being GST payable under RCM transferred to </t>
        </is>
      </c>
      <c r="D19" s="1400" t="n"/>
      <c r="E19" s="1400" t="n"/>
    </row>
    <row r="20">
      <c r="A20" s="8" t="n"/>
      <c r="B20" s="249" t="n"/>
      <c r="C20" s="8" t="inlineStr">
        <is>
          <t>GST payabel A/C for the month of Apr-26)</t>
        </is>
      </c>
      <c r="D20" s="1400" t="n"/>
      <c r="E20" s="1400" t="n"/>
    </row>
    <row r="21">
      <c r="A21" s="8" t="n"/>
      <c r="B21" s="249" t="n"/>
      <c r="C21" s="8" t="n"/>
      <c r="D21" s="1400" t="n"/>
      <c r="E21" s="1400" t="n"/>
    </row>
    <row r="22">
      <c r="A22" s="4" t="n">
        <v>3</v>
      </c>
      <c r="B22" s="248">
        <f>+B15</f>
        <v/>
      </c>
      <c r="C22" s="5" t="inlineStr">
        <is>
          <t>CGST Exp         A/c                               Dr</t>
        </is>
      </c>
      <c r="D22" s="1197">
        <f>E24</f>
        <v/>
      </c>
      <c r="E22" s="1197" t="n"/>
    </row>
    <row r="23">
      <c r="A23" s="4" t="n"/>
      <c r="B23" s="248" t="n"/>
      <c r="C23" s="5" t="inlineStr">
        <is>
          <t>SGST Exp         A/c                               Dr</t>
        </is>
      </c>
      <c r="D23" s="1197">
        <f>E25</f>
        <v/>
      </c>
      <c r="E23" s="1197" t="n"/>
    </row>
    <row r="24">
      <c r="A24" s="8" t="n"/>
      <c r="B24" s="249" t="n"/>
      <c r="C24" s="5" t="inlineStr">
        <is>
          <t xml:space="preserve">             To CGST Receivable RCM  A/c</t>
        </is>
      </c>
      <c r="D24" s="1197" t="n"/>
      <c r="E24" s="1197">
        <f>D15</f>
        <v/>
      </c>
    </row>
    <row r="25">
      <c r="A25" s="8" t="n"/>
      <c r="B25" s="249" t="n"/>
      <c r="C25" s="5" t="inlineStr">
        <is>
          <t xml:space="preserve">             To SGST Receivable RCM  A/c</t>
        </is>
      </c>
      <c r="D25" s="1197" t="n"/>
      <c r="E25" s="1197">
        <f>D16</f>
        <v/>
      </c>
    </row>
    <row r="26">
      <c r="A26" s="8" t="n"/>
      <c r="B26" s="249" t="n"/>
      <c r="C26" s="8" t="inlineStr">
        <is>
          <t>(Being Credit of RCM transferred to Exp</t>
        </is>
      </c>
      <c r="D26" s="8" t="n"/>
      <c r="E26" s="8" t="n"/>
    </row>
    <row r="27">
      <c r="A27" s="8" t="n"/>
      <c r="B27" s="249" t="n"/>
      <c r="C27" s="8" t="inlineStr">
        <is>
          <t>A/c for the month of Apr-26)</t>
        </is>
      </c>
      <c r="D27" s="8" t="n"/>
      <c r="E27" s="8" t="n"/>
    </row>
    <row r="28">
      <c r="A28" s="8" t="n"/>
      <c r="B28" s="249" t="n"/>
      <c r="C28" s="8" t="n"/>
      <c r="D28" s="8" t="n"/>
      <c r="E28" s="8" t="n"/>
    </row>
    <row r="29">
      <c r="A29" s="8" t="n"/>
      <c r="B29" s="249" t="n"/>
      <c r="C29" s="8" t="n"/>
      <c r="D29" s="8" t="n"/>
      <c r="E29" s="8" t="n"/>
    </row>
    <row r="30">
      <c r="A30" s="267" t="n">
        <v>4</v>
      </c>
      <c r="B30" s="273">
        <f>+'ENTRIES-ATMOSPHERE'!B30</f>
        <v/>
      </c>
      <c r="C30" s="269" t="inlineStr">
        <is>
          <t>CGST payable  A/c                                         Dr.</t>
        </is>
      </c>
      <c r="D30" s="1401">
        <f>+'FINAL CALC'!B152</f>
        <v/>
      </c>
      <c r="E30" s="1401" t="n"/>
    </row>
    <row r="31">
      <c r="A31" s="267" t="n"/>
      <c r="B31" s="274" t="n"/>
      <c r="C31" s="269" t="inlineStr">
        <is>
          <t>SGST payable  A/c                                         Dr.</t>
        </is>
      </c>
      <c r="D31" s="1401">
        <f>+D30</f>
        <v/>
      </c>
      <c r="E31" s="1401" t="n"/>
    </row>
    <row r="32">
      <c r="A32" s="267" t="n"/>
      <c r="B32" s="274" t="n"/>
      <c r="C32" s="269" t="inlineStr">
        <is>
          <t>GST Late Payment Int A/c                               Dr.</t>
        </is>
      </c>
      <c r="D32" s="1401">
        <f>+'FINAL CALC'!B126+'FINAL CALC'!C126</f>
        <v/>
      </c>
      <c r="E32" s="1401" t="n"/>
    </row>
    <row r="33">
      <c r="A33" s="267" t="n"/>
      <c r="B33" s="272" t="n"/>
      <c r="C33" s="269" t="inlineStr">
        <is>
          <t xml:space="preserve">                   To BANK  A/c</t>
        </is>
      </c>
      <c r="D33" s="1401" t="n"/>
      <c r="E33" s="1401">
        <f>SUM(D30:D32)</f>
        <v/>
      </c>
    </row>
    <row r="34">
      <c r="A34" s="267" t="n"/>
      <c r="B34" s="272" t="n"/>
      <c r="C34" s="272" t="inlineStr">
        <is>
          <t>(Being amount of GST PAID)</t>
        </is>
      </c>
      <c r="D34" s="1401" t="n"/>
      <c r="E34" s="1401" t="n"/>
    </row>
    <row r="35">
      <c r="A35" s="4" t="n"/>
      <c r="B35" s="8" t="n"/>
      <c r="C35" s="8" t="n"/>
      <c r="D35" s="1197" t="n"/>
      <c r="E35" s="1197" t="n"/>
    </row>
    <row r="36">
      <c r="A36" s="234" t="n"/>
      <c r="B36" s="235" t="n"/>
      <c r="C36" s="235" t="n"/>
      <c r="D36" s="1403" t="n"/>
    </row>
  </sheetData>
  <mergeCells count="5">
    <mergeCell ref="A5:A6"/>
    <mergeCell ref="A2:E2"/>
    <mergeCell ref="A3:E3"/>
    <mergeCell ref="B5:B6"/>
    <mergeCell ref="C5:C6"/>
  </mergeCells>
  <pageMargins left="0.7" right="0.7" top="0.75" bottom="0.75" header="0.3" footer="0.3"/>
  <pageSetup orientation="portrait" scale="96"/>
</worksheet>
</file>

<file path=xl/worksheets/sheet22.xml><?xml version="1.0" encoding="utf-8"?>
<worksheet xmlns="http://schemas.openxmlformats.org/spreadsheetml/2006/main">
  <sheetPr codeName="Sheet20">
    <outlinePr summaryBelow="1" summaryRight="1"/>
    <pageSetUpPr/>
  </sheetPr>
  <dimension ref="A1:H21"/>
  <sheetViews>
    <sheetView workbookViewId="0">
      <selection activeCell="G14" sqref="G14"/>
    </sheetView>
  </sheetViews>
  <sheetFormatPr baseColWidth="8" defaultColWidth="9.140625" defaultRowHeight="15"/>
  <cols>
    <col width="10.140625" bestFit="1" customWidth="1" style="95" min="1" max="1"/>
    <col width="2.85546875" bestFit="1" customWidth="1" style="95" min="2" max="2"/>
    <col width="31.140625" bestFit="1" customWidth="1" style="95" min="3" max="3"/>
    <col width="8" bestFit="1" customWidth="1" style="95" min="4" max="4"/>
    <col width="7" bestFit="1" customWidth="1" style="95" min="5" max="5"/>
    <col width="10.5703125" bestFit="1" customWidth="1" style="95" min="6" max="7"/>
    <col width="9.140625" customWidth="1" style="95" min="8" max="16384"/>
  </cols>
  <sheetData>
    <row r="1" ht="15.75" customHeight="1">
      <c r="A1" s="955" t="inlineStr">
        <is>
          <t>SUN REALTY</t>
        </is>
      </c>
      <c r="D1" s="94" t="n"/>
      <c r="E1" s="94" t="n"/>
      <c r="F1" s="94" t="n"/>
      <c r="G1" s="94" t="n"/>
    </row>
    <row r="2" ht="15.75" customHeight="1">
      <c r="A2" s="955" t="inlineStr">
        <is>
          <t>CGST Receivable</t>
        </is>
      </c>
      <c r="D2" s="94" t="n"/>
      <c r="E2" s="94" t="n"/>
      <c r="F2" s="94" t="n"/>
      <c r="G2" s="94" t="n"/>
    </row>
    <row r="3">
      <c r="A3" s="954" t="inlineStr">
        <is>
          <t>Ledger Account</t>
        </is>
      </c>
      <c r="D3" s="94" t="n"/>
      <c r="E3" s="94" t="n"/>
      <c r="F3" s="94" t="n"/>
      <c r="G3" s="94" t="n"/>
    </row>
    <row r="4">
      <c r="A4" s="956" t="inlineStr">
        <is>
          <t>BACK DATED ENTRIES OF APRIL 2022</t>
        </is>
      </c>
      <c r="D4" s="94" t="n"/>
      <c r="E4" s="94" t="n"/>
      <c r="F4" s="94" t="n"/>
      <c r="G4" s="94" t="n"/>
    </row>
    <row r="5">
      <c r="A5" s="954" t="inlineStr"/>
      <c r="D5" s="94" t="n"/>
      <c r="E5" s="94" t="n"/>
      <c r="F5" s="94" t="n"/>
      <c r="G5" s="94" t="n"/>
    </row>
    <row r="6">
      <c r="A6" s="954" t="inlineStr">
        <is>
          <t>1-Apr-2022 to 30-Apr-2022</t>
        </is>
      </c>
      <c r="D6" s="94" t="n"/>
      <c r="E6" s="94" t="n"/>
      <c r="F6" s="94" t="n"/>
      <c r="G6" s="94" t="n"/>
    </row>
    <row r="7">
      <c r="A7" s="96" t="inlineStr">
        <is>
          <t>Date</t>
        </is>
      </c>
      <c r="B7" s="949" t="inlineStr">
        <is>
          <t>Particulars</t>
        </is>
      </c>
      <c r="C7" s="1254" t="n"/>
      <c r="D7" s="97" t="inlineStr">
        <is>
          <t>Vch Type</t>
        </is>
      </c>
      <c r="E7" s="96" t="inlineStr">
        <is>
          <t>Vch No.</t>
        </is>
      </c>
      <c r="F7" s="98" t="inlineStr">
        <is>
          <t>Debit</t>
        </is>
      </c>
      <c r="G7" s="98" t="inlineStr">
        <is>
          <t>Credit</t>
        </is>
      </c>
    </row>
    <row r="8">
      <c r="A8" s="99" t="n">
        <v>44652</v>
      </c>
      <c r="B8" s="954" t="inlineStr">
        <is>
          <t>Cr</t>
        </is>
      </c>
      <c r="C8" s="950" t="inlineStr">
        <is>
          <t>Opening Balance</t>
        </is>
      </c>
      <c r="D8" s="1412" t="n"/>
      <c r="E8" s="1412" t="n"/>
      <c r="F8" s="1421" t="n">
        <v>3073811</v>
      </c>
      <c r="G8" s="1422" t="n"/>
    </row>
    <row r="9">
      <c r="A9" s="124" t="n">
        <v>44681</v>
      </c>
      <c r="B9" s="125" t="inlineStr">
        <is>
          <t>Cr</t>
        </is>
      </c>
      <c r="C9" s="126" t="inlineStr">
        <is>
          <t>Compu Brain</t>
        </is>
      </c>
      <c r="D9" s="127" t="inlineStr">
        <is>
          <t>Journal</t>
        </is>
      </c>
      <c r="E9" s="128" t="inlineStr">
        <is>
          <t>55</t>
        </is>
      </c>
      <c r="F9" s="1423" t="n">
        <v>219</v>
      </c>
      <c r="G9" s="1424" t="n"/>
      <c r="H9" s="131" t="inlineStr">
        <is>
          <t>AVAILED IN MAY 2022 AS BACK DATEDLY ENTERED IN TALLY</t>
        </is>
      </c>
    </row>
    <row r="10">
      <c r="A10" s="124" t="n">
        <v>44681</v>
      </c>
      <c r="B10" s="125" t="inlineStr">
        <is>
          <t>Cr</t>
        </is>
      </c>
      <c r="C10" s="126" t="inlineStr">
        <is>
          <t>Compu Brain</t>
        </is>
      </c>
      <c r="D10" s="127" t="inlineStr">
        <is>
          <t>Journal</t>
        </is>
      </c>
      <c r="E10" s="128" t="inlineStr">
        <is>
          <t>51</t>
        </is>
      </c>
      <c r="F10" s="1423" t="n">
        <v>270</v>
      </c>
      <c r="G10" s="1424" t="n"/>
      <c r="H10" s="131" t="inlineStr">
        <is>
          <t>AVAILED IN MAY 2022 AS BACK DATEDLY ENTERED IN TALLY</t>
        </is>
      </c>
    </row>
    <row r="11">
      <c r="A11" s="124" t="n">
        <v>44681</v>
      </c>
      <c r="B11" s="125" t="inlineStr">
        <is>
          <t>Cr</t>
        </is>
      </c>
      <c r="C11" s="126" t="inlineStr">
        <is>
          <t>Compu Brain</t>
        </is>
      </c>
      <c r="D11" s="127" t="inlineStr">
        <is>
          <t>Journal</t>
        </is>
      </c>
      <c r="E11" s="128" t="inlineStr">
        <is>
          <t>52</t>
        </is>
      </c>
      <c r="F11" s="1423" t="n">
        <v>423</v>
      </c>
      <c r="G11" s="1424" t="n"/>
      <c r="H11" s="131" t="inlineStr">
        <is>
          <t>AVAILED IN MAY 2022 AS BACK DATEDLY ENTERED IN TALLY</t>
        </is>
      </c>
    </row>
    <row r="12">
      <c r="A12" s="124" t="n">
        <v>44681</v>
      </c>
      <c r="B12" s="125" t="inlineStr">
        <is>
          <t>Cr</t>
        </is>
      </c>
      <c r="C12" s="126" t="inlineStr">
        <is>
          <t>Compu Brain</t>
        </is>
      </c>
      <c r="D12" s="127" t="inlineStr">
        <is>
          <t>Journal</t>
        </is>
      </c>
      <c r="E12" s="128" t="inlineStr">
        <is>
          <t>53</t>
        </is>
      </c>
      <c r="F12" s="1423" t="n">
        <v>423</v>
      </c>
      <c r="G12" s="1424" t="n"/>
      <c r="H12" s="131" t="inlineStr">
        <is>
          <t>AVAILED IN MAY 2022 AS BACK DATEDLY ENTERED IN TALLY</t>
        </is>
      </c>
    </row>
    <row r="13">
      <c r="A13" s="103" t="n">
        <v>44662</v>
      </c>
      <c r="B13" s="954" t="inlineStr">
        <is>
          <t>Cr</t>
        </is>
      </c>
      <c r="C13" s="956" t="inlineStr">
        <is>
          <t>Khushboo  Xerox</t>
        </is>
      </c>
      <c r="D13" s="105" t="inlineStr">
        <is>
          <t>Journal</t>
        </is>
      </c>
      <c r="E13" s="106" t="inlineStr">
        <is>
          <t>17</t>
        </is>
      </c>
      <c r="F13" s="1421" t="n">
        <v>1183</v>
      </c>
      <c r="G13" s="1422" t="n"/>
      <c r="H13" s="95" t="inlineStr">
        <is>
          <t>TO BE TRANS TO PROV RECIEVABLE</t>
        </is>
      </c>
    </row>
    <row r="14">
      <c r="A14" s="124" t="n">
        <v>44681</v>
      </c>
      <c r="B14" s="125" t="inlineStr">
        <is>
          <t>Cr</t>
        </is>
      </c>
      <c r="C14" s="126" t="inlineStr">
        <is>
          <t>Compu Brain</t>
        </is>
      </c>
      <c r="D14" s="127" t="inlineStr">
        <is>
          <t>Journal</t>
        </is>
      </c>
      <c r="E14" s="128" t="inlineStr">
        <is>
          <t>54</t>
        </is>
      </c>
      <c r="F14" s="1423" t="n">
        <v>2200</v>
      </c>
      <c r="G14" s="1424" t="n"/>
      <c r="H14" s="131" t="inlineStr">
        <is>
          <t>AVAILED IN MAY 2022 AS BACK DATEDLY ENTERED IN TALLY</t>
        </is>
      </c>
    </row>
    <row r="15">
      <c r="A15" s="103" t="n">
        <v>44652</v>
      </c>
      <c r="B15" s="954" t="inlineStr">
        <is>
          <t>Cr</t>
        </is>
      </c>
      <c r="C15" s="956" t="inlineStr">
        <is>
          <t>Harshadkumar Govindbhai Patel</t>
        </is>
      </c>
      <c r="D15" s="105" t="inlineStr">
        <is>
          <t>Journal</t>
        </is>
      </c>
      <c r="E15" s="106" t="inlineStr">
        <is>
          <t>9</t>
        </is>
      </c>
      <c r="F15" s="1421" t="n">
        <v>7814</v>
      </c>
      <c r="G15" s="1422" t="n"/>
      <c r="H15" s="95" t="inlineStr">
        <is>
          <t>TO BE TRANS TO PROV RECIEVABLE</t>
        </is>
      </c>
    </row>
    <row r="16">
      <c r="A16" s="103" t="n">
        <v>44652</v>
      </c>
      <c r="B16" s="954" t="inlineStr">
        <is>
          <t>Cr</t>
        </is>
      </c>
      <c r="C16" s="956" t="inlineStr">
        <is>
          <t>Patel Sanjaykumar G.</t>
        </is>
      </c>
      <c r="D16" s="105" t="inlineStr">
        <is>
          <t>Journal</t>
        </is>
      </c>
      <c r="E16" s="106" t="inlineStr">
        <is>
          <t>10</t>
        </is>
      </c>
      <c r="F16" s="1421" t="n">
        <v>7814</v>
      </c>
      <c r="G16" s="1422" t="n"/>
      <c r="H16" s="95" t="inlineStr">
        <is>
          <t>TO BE TRANS TO PROV RECIEVABLE</t>
        </is>
      </c>
    </row>
    <row r="17">
      <c r="A17" s="103" t="n">
        <v>44652</v>
      </c>
      <c r="B17" s="954" t="inlineStr">
        <is>
          <t>Cr</t>
        </is>
      </c>
      <c r="C17" s="956" t="inlineStr">
        <is>
          <t>Vimal Ranachhodbhai Patel</t>
        </is>
      </c>
      <c r="D17" s="105" t="inlineStr">
        <is>
          <t>Journal</t>
        </is>
      </c>
      <c r="E17" s="106" t="inlineStr">
        <is>
          <t>11</t>
        </is>
      </c>
      <c r="F17" s="1421" t="n">
        <v>7814</v>
      </c>
      <c r="G17" s="1422" t="n"/>
      <c r="H17" s="95" t="inlineStr">
        <is>
          <t>TO BE TRANS TO PROV RECIEVABLE</t>
        </is>
      </c>
    </row>
    <row r="18">
      <c r="A18" s="103" t="n">
        <v>44652</v>
      </c>
      <c r="B18" s="954" t="inlineStr">
        <is>
          <t>Cr</t>
        </is>
      </c>
      <c r="C18" s="956" t="inlineStr">
        <is>
          <t>Vishal Ranachhodbhai Patel</t>
        </is>
      </c>
      <c r="D18" s="105" t="inlineStr">
        <is>
          <t>Journal</t>
        </is>
      </c>
      <c r="E18" s="106" t="inlineStr">
        <is>
          <t>12</t>
        </is>
      </c>
      <c r="F18" s="1421" t="n">
        <v>7814</v>
      </c>
      <c r="G18" s="1422" t="n"/>
      <c r="H18" s="95" t="inlineStr">
        <is>
          <t>TO BE TRANS TO PROV RECIEVABLE</t>
        </is>
      </c>
    </row>
    <row r="19">
      <c r="A19" s="1425" t="n">
        <v>3109785</v>
      </c>
      <c r="B19" s="1412" t="n"/>
      <c r="C19" s="1412" t="n"/>
      <c r="D19" s="1412" t="n"/>
      <c r="E19" s="1412" t="n"/>
      <c r="F19" s="1412" t="n"/>
      <c r="G19" s="1426" t="n"/>
    </row>
    <row r="20">
      <c r="A20" s="108" t="inlineStr"/>
      <c r="B20" s="954" t="inlineStr">
        <is>
          <t>Dr</t>
        </is>
      </c>
      <c r="C20" s="109" t="inlineStr">
        <is>
          <t>Closing Balance</t>
        </is>
      </c>
      <c r="D20" s="1427" t="n"/>
      <c r="G20" s="1428" t="n">
        <v>3109785</v>
      </c>
    </row>
    <row r="21">
      <c r="A21" s="1429" t="n">
        <v>3109785</v>
      </c>
      <c r="B21" s="1254" t="n"/>
      <c r="C21" s="1254" t="n"/>
      <c r="D21" s="1254" t="n"/>
      <c r="E21" s="1254" t="n"/>
      <c r="F21" s="1254" t="n"/>
      <c r="G21" s="1429" t="n">
        <v>3109785</v>
      </c>
    </row>
  </sheetData>
  <mergeCells count="11">
    <mergeCell ref="B7:C7"/>
    <mergeCell ref="A1:C1"/>
    <mergeCell ref="A19:F19"/>
    <mergeCell ref="A5:C5"/>
    <mergeCell ref="A6:C6"/>
    <mergeCell ref="C8:E8"/>
    <mergeCell ref="A3:C3"/>
    <mergeCell ref="A4:C4"/>
    <mergeCell ref="D20:F20"/>
    <mergeCell ref="A21:F21"/>
    <mergeCell ref="A2:C2"/>
  </mergeCells>
  <pageMargins left="0.7" right="0.7" top="0.75" bottom="0.75" header="0.3" footer="0.3"/>
  <pageSetup orientation="portrait" paperSize="9"/>
</worksheet>
</file>

<file path=xl/worksheets/sheet23.xml><?xml version="1.0" encoding="utf-8"?>
<worksheet xmlns="http://schemas.openxmlformats.org/spreadsheetml/2006/main">
  <sheetPr codeName="Sheet21">
    <outlinePr summaryBelow="1" summaryRight="1"/>
    <pageSetUpPr/>
  </sheetPr>
  <dimension ref="A1:S34"/>
  <sheetViews>
    <sheetView topLeftCell="A5" workbookViewId="0">
      <selection activeCell="A6" sqref="A6"/>
    </sheetView>
  </sheetViews>
  <sheetFormatPr baseColWidth="8" defaultColWidth="9.140625" defaultRowHeight="17.25"/>
  <cols>
    <col width="11.140625" customWidth="1" style="84" min="1" max="1"/>
    <col width="39.7109375" customWidth="1" style="84" min="2" max="2"/>
    <col width="22.5703125" customWidth="1" style="84" min="3" max="3"/>
    <col width="22" customWidth="1" style="84" min="4" max="4"/>
    <col width="11.28515625" bestFit="1" customWidth="1" style="84" min="5" max="6"/>
    <col width="29.140625" bestFit="1" customWidth="1" style="84" min="7" max="7"/>
    <col width="9.140625" customWidth="1" style="84" min="8" max="16384"/>
  </cols>
  <sheetData>
    <row r="1">
      <c r="A1" s="957" t="inlineStr">
        <is>
          <t>PROVISIONAL CLOSING BALANVCE AS ON 31-03-2022</t>
        </is>
      </c>
    </row>
    <row r="2"/>
    <row r="3">
      <c r="A3" s="85" t="inlineStr">
        <is>
          <t xml:space="preserve">Month </t>
        </is>
      </c>
      <c r="B3" s="85" t="inlineStr">
        <is>
          <t xml:space="preserve">NAME </t>
        </is>
      </c>
      <c r="C3" s="85" t="inlineStr">
        <is>
          <t xml:space="preserve">DATE </t>
        </is>
      </c>
      <c r="D3" s="85" t="inlineStr">
        <is>
          <t xml:space="preserve">TAXABLE AMOUNT </t>
        </is>
      </c>
      <c r="E3" s="85" t="inlineStr">
        <is>
          <t>CGST</t>
        </is>
      </c>
      <c r="F3" s="85" t="inlineStr">
        <is>
          <t xml:space="preserve">SGST </t>
        </is>
      </c>
      <c r="G3" s="85" t="inlineStr">
        <is>
          <t>STATUS</t>
        </is>
      </c>
    </row>
    <row r="4">
      <c r="A4" s="86" t="inlineStr">
        <is>
          <t>Opening</t>
        </is>
      </c>
      <c r="B4" s="86" t="inlineStr">
        <is>
          <t>Property Panther</t>
        </is>
      </c>
      <c r="C4" s="86" t="inlineStr">
        <is>
          <t>07/2021-22</t>
        </is>
      </c>
      <c r="D4" s="1430" t="n">
        <v>54080</v>
      </c>
      <c r="E4" s="1430" t="n">
        <v>4867</v>
      </c>
      <c r="F4" s="1430" t="n">
        <v>4867</v>
      </c>
      <c r="G4" s="86" t="n"/>
    </row>
    <row r="5">
      <c r="A5" s="86" t="inlineStr">
        <is>
          <t>Opening</t>
        </is>
      </c>
      <c r="B5" s="1431" t="inlineStr">
        <is>
          <t>Epic Infratech</t>
        </is>
      </c>
      <c r="C5" s="1431" t="inlineStr">
        <is>
          <t>SG-06</t>
        </is>
      </c>
      <c r="D5" s="1430" t="n">
        <v>847458</v>
      </c>
      <c r="E5" s="1432" t="n">
        <v>76271</v>
      </c>
      <c r="F5" s="1430" t="n">
        <v>76271</v>
      </c>
      <c r="G5" s="86" t="n"/>
    </row>
    <row r="6">
      <c r="A6" s="119" t="inlineStr">
        <is>
          <t>Opening</t>
        </is>
      </c>
      <c r="B6" s="119" t="inlineStr">
        <is>
          <t>Surbhi Enterprise</t>
        </is>
      </c>
      <c r="C6" s="119" t="n">
        <v>100</v>
      </c>
      <c r="D6" s="1433" t="n">
        <v>12500</v>
      </c>
      <c r="E6" s="1433" t="n">
        <v>1125</v>
      </c>
      <c r="F6" s="1433" t="n">
        <v>1125</v>
      </c>
      <c r="G6" s="119" t="inlineStr">
        <is>
          <t>TO BE AVAILED IN MAY COZ REFLECTED IN APRIL 2B (TRANS TO REC FROM PROV REC)</t>
        </is>
      </c>
      <c r="H6" s="118" t="n"/>
    </row>
    <row r="7">
      <c r="A7" s="86" t="inlineStr">
        <is>
          <t xml:space="preserve">Jan </t>
        </is>
      </c>
      <c r="B7" s="90" t="inlineStr">
        <is>
          <t>Khushboo  Xerox</t>
        </is>
      </c>
      <c r="C7" s="90" t="inlineStr">
        <is>
          <t>354</t>
        </is>
      </c>
      <c r="D7" s="91" t="n">
        <v>13328</v>
      </c>
      <c r="E7" s="1432" t="n">
        <v>1199</v>
      </c>
      <c r="F7" s="1430">
        <f>+E7</f>
        <v/>
      </c>
      <c r="G7" s="86" t="n"/>
    </row>
    <row r="8">
      <c r="A8" s="119" t="inlineStr">
        <is>
          <t xml:space="preserve">Jan </t>
        </is>
      </c>
      <c r="B8" s="122" t="inlineStr">
        <is>
          <t>Gayatri Debit Note</t>
        </is>
      </c>
      <c r="C8" s="119" t="n"/>
      <c r="D8" s="1433" t="n">
        <v>0</v>
      </c>
      <c r="E8" s="1434" t="n">
        <v>-222</v>
      </c>
      <c r="F8" s="1433" t="n">
        <v>-222</v>
      </c>
      <c r="G8" s="119" t="inlineStr">
        <is>
          <t>To be reversed in MAY (TRANS TO REC FROM PROV REC)</t>
        </is>
      </c>
      <c r="H8" s="118" t="n"/>
    </row>
    <row r="9">
      <c r="A9" s="119" t="inlineStr">
        <is>
          <t xml:space="preserve">March </t>
        </is>
      </c>
      <c r="B9" s="120" t="inlineStr">
        <is>
          <t>Hare Krushna Concrete Solution</t>
        </is>
      </c>
      <c r="C9" s="119" t="inlineStr">
        <is>
          <t>HKL/2122/3934</t>
        </is>
      </c>
      <c r="D9" s="1433" t="n">
        <v>55728</v>
      </c>
      <c r="E9" s="1433" t="n">
        <v>5016</v>
      </c>
      <c r="F9" s="1433">
        <f>E9</f>
        <v/>
      </c>
      <c r="G9" s="119" t="inlineStr">
        <is>
          <t>TO BE AVAILED IN MAY COZ REFLECTED IN APRIL 2B (TRANS TO REC FROM PROV REC)</t>
        </is>
      </c>
      <c r="H9" s="118" t="n"/>
    </row>
    <row r="10">
      <c r="A10" s="119" t="inlineStr">
        <is>
          <t xml:space="preserve">March </t>
        </is>
      </c>
      <c r="B10" s="120" t="inlineStr">
        <is>
          <t>Hare Krushna Concrete Solution</t>
        </is>
      </c>
      <c r="C10" s="119" t="inlineStr">
        <is>
          <t>HKL/2122/3917</t>
        </is>
      </c>
      <c r="D10" s="1433" t="n">
        <v>57471</v>
      </c>
      <c r="E10" s="1433">
        <f>5172</f>
        <v/>
      </c>
      <c r="F10" s="1433">
        <f>E10</f>
        <v/>
      </c>
      <c r="G10" s="119" t="inlineStr">
        <is>
          <t>TO BE AVAILED IN MAY COZ REFLECTED IN APRIL 2B (TRANS TO REC FROM PROV REC)</t>
        </is>
      </c>
      <c r="H10" s="118" t="n"/>
    </row>
    <row r="11" ht="34.5" customHeight="1">
      <c r="A11" s="86" t="inlineStr">
        <is>
          <t xml:space="preserve">March </t>
        </is>
      </c>
      <c r="B11" s="92" t="inlineStr">
        <is>
          <t>Bajaj  Allianz General Insurance Co Ltd</t>
        </is>
      </c>
      <c r="C11" s="86" t="n">
        <v>799</v>
      </c>
      <c r="D11" s="1430" t="n">
        <v>12237</v>
      </c>
      <c r="E11" s="1430">
        <f>1101</f>
        <v/>
      </c>
      <c r="F11" s="1430">
        <f>E11</f>
        <v/>
      </c>
      <c r="G11" s="86" t="n"/>
    </row>
    <row r="12">
      <c r="A12" s="1435" t="inlineStr">
        <is>
          <t>TOTAL</t>
        </is>
      </c>
      <c r="B12" s="1254" t="n"/>
      <c r="C12" s="1254" t="n"/>
      <c r="D12" s="1255" t="n"/>
      <c r="E12" s="1436">
        <f>SUM(E4:E11)</f>
        <v/>
      </c>
      <c r="F12" s="1436">
        <f>SUM(F4:F11)</f>
        <v/>
      </c>
      <c r="G12" s="86" t="n"/>
    </row>
    <row r="14">
      <c r="A14" s="961" t="inlineStr">
        <is>
          <t>ENTRIES IN GSTR 2B NOT REFLECTED IN TALLY FOR THE MONTH OF APRIL 2022</t>
        </is>
      </c>
    </row>
    <row r="16">
      <c r="A16" s="112" t="inlineStr">
        <is>
          <t>GSTIN of supplier</t>
        </is>
      </c>
      <c r="B16" s="112" t="inlineStr">
        <is>
          <t>Trade/Legal name of the Supplier</t>
        </is>
      </c>
      <c r="C16" s="112" t="inlineStr">
        <is>
          <t>Invoice number</t>
        </is>
      </c>
      <c r="D16" s="112" t="inlineStr">
        <is>
          <t>Invoice Date</t>
        </is>
      </c>
      <c r="E16" s="112" t="inlineStr">
        <is>
          <t>Invoice Value (₹)</t>
        </is>
      </c>
      <c r="F16" s="112" t="inlineStr">
        <is>
          <t>Taxable Value (₹)</t>
        </is>
      </c>
      <c r="G16" s="112" t="inlineStr">
        <is>
          <t>Central Tax (₹)</t>
        </is>
      </c>
      <c r="H16" s="112" t="inlineStr">
        <is>
          <t>State/UT tax (₹)</t>
        </is>
      </c>
      <c r="I16" s="112" t="inlineStr">
        <is>
          <t>GSTR-1/IFF/GSTR-5 Filing Date</t>
        </is>
      </c>
    </row>
    <row r="17">
      <c r="A17" s="113" t="inlineStr">
        <is>
          <t>24AABCB2075J1ZW</t>
        </is>
      </c>
      <c r="B17" s="113" t="inlineStr">
        <is>
          <t>BIRLA CORPORATION LIMITED</t>
        </is>
      </c>
      <c r="C17" s="113" t="inlineStr">
        <is>
          <t>1318128408</t>
        </is>
      </c>
      <c r="D17" s="113" t="inlineStr">
        <is>
          <t>22-04-2022</t>
        </is>
      </c>
      <c r="E17" s="113" t="n">
        <v>34000</v>
      </c>
      <c r="F17" s="113" t="n">
        <v>26562.5</v>
      </c>
      <c r="G17" s="113" t="n">
        <v>3718.75</v>
      </c>
      <c r="H17" s="113" t="n">
        <v>3718.75</v>
      </c>
      <c r="I17" s="113" t="inlineStr">
        <is>
          <t>10-May-22</t>
        </is>
      </c>
      <c r="L17" s="84" t="inlineStr">
        <is>
          <t>AVAILED IN MAY 2022(TO BE TRANS TO PROV CREDITORS)</t>
        </is>
      </c>
    </row>
    <row r="18">
      <c r="A18" s="113" t="inlineStr">
        <is>
          <t>24AABCB2075J1ZW</t>
        </is>
      </c>
      <c r="B18" s="113" t="inlineStr">
        <is>
          <t>BIRLA CORPORATION LIMITED</t>
        </is>
      </c>
      <c r="C18" s="113" t="inlineStr">
        <is>
          <t>1318128464</t>
        </is>
      </c>
      <c r="D18" s="113" t="inlineStr">
        <is>
          <t>23-04-2022</t>
        </is>
      </c>
      <c r="E18" s="113" t="n">
        <v>42500</v>
      </c>
      <c r="F18" s="113" t="n">
        <v>33203.12</v>
      </c>
      <c r="G18" s="113" t="n">
        <v>4648.44</v>
      </c>
      <c r="H18" s="113" t="n">
        <v>4648.44</v>
      </c>
      <c r="I18" s="113" t="inlineStr">
        <is>
          <t>10-May-22</t>
        </is>
      </c>
      <c r="L18" s="84" t="inlineStr">
        <is>
          <t>AVAILED IN MAY 2022(TO BE TRANS TO PROV CREDITORS)</t>
        </is>
      </c>
    </row>
    <row r="19" customFormat="1" s="133">
      <c r="A19" s="132" t="inlineStr">
        <is>
          <t>24AAGFC5091H1ZJ</t>
        </is>
      </c>
      <c r="B19" s="132" t="inlineStr">
        <is>
          <t>COMPUBRAIN</t>
        </is>
      </c>
      <c r="C19" s="132" t="inlineStr">
        <is>
          <t>134</t>
        </is>
      </c>
      <c r="D19" s="132" t="inlineStr">
        <is>
          <t>30-04-2022</t>
        </is>
      </c>
      <c r="E19" s="132" t="n">
        <v>32450</v>
      </c>
      <c r="F19" s="132" t="n">
        <v>27500</v>
      </c>
      <c r="G19" s="132" t="n">
        <v>2475</v>
      </c>
      <c r="H19" s="132" t="n">
        <v>2475</v>
      </c>
      <c r="I19" s="132" t="inlineStr">
        <is>
          <t>13-May-22</t>
        </is>
      </c>
      <c r="L19" s="962" t="inlineStr">
        <is>
          <t>NOT TO AVAIL AS CREDIT OF ATMOSPHERE</t>
        </is>
      </c>
    </row>
    <row r="20" customFormat="1" s="133">
      <c r="A20" s="132" t="inlineStr">
        <is>
          <t>24AAGFC5091H1ZJ</t>
        </is>
      </c>
      <c r="B20" s="132" t="inlineStr">
        <is>
          <t>COMPUBRAIN</t>
        </is>
      </c>
      <c r="C20" s="132" t="inlineStr">
        <is>
          <t>135</t>
        </is>
      </c>
      <c r="D20" s="132" t="inlineStr">
        <is>
          <t>30-04-2022</t>
        </is>
      </c>
      <c r="E20" s="132" t="n">
        <v>37977</v>
      </c>
      <c r="F20" s="132" t="n">
        <v>32184</v>
      </c>
      <c r="G20" s="132" t="n">
        <v>2896.56</v>
      </c>
      <c r="H20" s="132" t="n">
        <v>2896.56</v>
      </c>
      <c r="I20" s="132" t="inlineStr">
        <is>
          <t>13-May-22</t>
        </is>
      </c>
    </row>
    <row r="21">
      <c r="A21" s="115" t="inlineStr">
        <is>
          <t>24AAGFC5091H1ZJ</t>
        </is>
      </c>
      <c r="B21" s="115" t="inlineStr">
        <is>
          <t>COMPUBRAIN</t>
        </is>
      </c>
      <c r="C21" s="115" t="inlineStr">
        <is>
          <t>136</t>
        </is>
      </c>
      <c r="D21" s="115" t="inlineStr">
        <is>
          <t>30-04-2022</t>
        </is>
      </c>
      <c r="E21" s="115" t="n">
        <v>28851</v>
      </c>
      <c r="F21" s="115" t="n">
        <v>24450</v>
      </c>
      <c r="G21" s="115" t="n">
        <v>2200.5</v>
      </c>
      <c r="H21" s="115" t="n">
        <v>2200.5</v>
      </c>
      <c r="I21" s="115" t="inlineStr">
        <is>
          <t>13-May-22</t>
        </is>
      </c>
      <c r="J21" s="114" t="n"/>
    </row>
    <row r="22">
      <c r="A22" s="115" t="inlineStr">
        <is>
          <t>24AAGFC5091H1ZJ</t>
        </is>
      </c>
      <c r="B22" s="115" t="inlineStr">
        <is>
          <t>COMPUBRAIN</t>
        </is>
      </c>
      <c r="C22" s="115" t="inlineStr">
        <is>
          <t>137</t>
        </is>
      </c>
      <c r="D22" s="115" t="inlineStr">
        <is>
          <t>30-04-2022</t>
        </is>
      </c>
      <c r="E22" s="115" t="n">
        <v>3540</v>
      </c>
      <c r="F22" s="115" t="n">
        <v>3000</v>
      </c>
      <c r="G22" s="115" t="n">
        <v>270</v>
      </c>
      <c r="H22" s="115" t="n">
        <v>270</v>
      </c>
      <c r="I22" s="115" t="inlineStr">
        <is>
          <t>13-May-22</t>
        </is>
      </c>
      <c r="J22" s="114" t="n"/>
    </row>
    <row r="23">
      <c r="A23" s="115" t="inlineStr">
        <is>
          <t>24AAGFC5091H1ZJ</t>
        </is>
      </c>
      <c r="B23" s="115" t="inlineStr">
        <is>
          <t>COMPUBRAIN</t>
        </is>
      </c>
      <c r="C23" s="115" t="inlineStr">
        <is>
          <t>138</t>
        </is>
      </c>
      <c r="D23" s="115" t="inlineStr">
        <is>
          <t>30-04-2022</t>
        </is>
      </c>
      <c r="E23" s="115" t="n">
        <v>5546</v>
      </c>
      <c r="F23" s="115" t="n">
        <v>4700</v>
      </c>
      <c r="G23" s="115" t="n">
        <v>423</v>
      </c>
      <c r="H23" s="115" t="n">
        <v>423</v>
      </c>
      <c r="I23" s="115" t="inlineStr">
        <is>
          <t>13-May-22</t>
        </is>
      </c>
      <c r="J23" s="114" t="n"/>
    </row>
    <row r="24">
      <c r="A24" s="115" t="inlineStr">
        <is>
          <t>24AAGFC5091H1ZJ</t>
        </is>
      </c>
      <c r="B24" s="115" t="inlineStr">
        <is>
          <t>COMPUBRAIN</t>
        </is>
      </c>
      <c r="C24" s="115" t="inlineStr">
        <is>
          <t>139</t>
        </is>
      </c>
      <c r="D24" s="115" t="inlineStr">
        <is>
          <t>30-04-2022</t>
        </is>
      </c>
      <c r="E24" s="115" t="n">
        <v>5546</v>
      </c>
      <c r="F24" s="115" t="n">
        <v>4700</v>
      </c>
      <c r="G24" s="115" t="n">
        <v>423</v>
      </c>
      <c r="H24" s="115" t="n">
        <v>423</v>
      </c>
      <c r="I24" s="115" t="inlineStr">
        <is>
          <t>13-May-22</t>
        </is>
      </c>
      <c r="J24" s="114" t="n"/>
    </row>
    <row r="25">
      <c r="A25" s="115" t="inlineStr">
        <is>
          <t>24AAGFC5091H1ZJ</t>
        </is>
      </c>
      <c r="B25" s="115" t="inlineStr">
        <is>
          <t>COMPUBRAIN</t>
        </is>
      </c>
      <c r="C25" s="115" t="inlineStr">
        <is>
          <t>140</t>
        </is>
      </c>
      <c r="D25" s="115" t="inlineStr">
        <is>
          <t>30-04-2022</t>
        </is>
      </c>
      <c r="E25" s="115" t="n">
        <v>2870</v>
      </c>
      <c r="F25" s="115" t="n">
        <v>2432</v>
      </c>
      <c r="G25" s="115" t="n">
        <v>218.88</v>
      </c>
      <c r="H25" s="115" t="n">
        <v>218.88</v>
      </c>
      <c r="I25" s="115" t="inlineStr">
        <is>
          <t>13-May-22</t>
        </is>
      </c>
      <c r="J25" s="114" t="n"/>
    </row>
    <row r="26">
      <c r="A26" s="113" t="inlineStr">
        <is>
          <t>24AOEPP6397M1Z8</t>
        </is>
      </c>
      <c r="B26" s="113" t="inlineStr">
        <is>
          <t>PRATHAM AGENCIES</t>
        </is>
      </c>
      <c r="C26" s="113" t="inlineStr">
        <is>
          <t>14</t>
        </is>
      </c>
      <c r="D26" s="113" t="inlineStr">
        <is>
          <t>26-04-2022</t>
        </is>
      </c>
      <c r="E26" s="113" t="n">
        <v>86240</v>
      </c>
      <c r="F26" s="113" t="n">
        <v>77000</v>
      </c>
      <c r="G26" s="113" t="n">
        <v>4620</v>
      </c>
      <c r="H26" s="113" t="n">
        <v>4620</v>
      </c>
      <c r="I26" s="113" t="inlineStr">
        <is>
          <t>09-May-22</t>
        </is>
      </c>
      <c r="L26" s="84" t="inlineStr">
        <is>
          <t>AVAILED IN MAY 2022(TO BE TRANS TO PROV CREDITORS)</t>
        </is>
      </c>
    </row>
    <row r="27">
      <c r="A27" s="113" t="inlineStr">
        <is>
          <t>24AGAPP3048H1ZM</t>
        </is>
      </c>
      <c r="B27" s="113" t="inlineStr">
        <is>
          <t>SURYA AGENCY</t>
        </is>
      </c>
      <c r="C27" s="113" t="inlineStr">
        <is>
          <t>252</t>
        </is>
      </c>
      <c r="D27" s="113" t="inlineStr">
        <is>
          <t>29-04-2022</t>
        </is>
      </c>
      <c r="E27" s="113" t="n">
        <v>425</v>
      </c>
      <c r="F27" s="113" t="n">
        <v>360</v>
      </c>
      <c r="G27" s="113" t="n">
        <v>32.4</v>
      </c>
      <c r="H27" s="113" t="n">
        <v>32.4</v>
      </c>
      <c r="I27" s="113" t="inlineStr">
        <is>
          <t>05-May-22</t>
        </is>
      </c>
      <c r="L27" s="84" t="inlineStr">
        <is>
          <t>AVAILED IN MAY 2022(TO BE TRANS TO PROV CREDITORS)</t>
        </is>
      </c>
    </row>
    <row r="28">
      <c r="A28" s="113" t="inlineStr">
        <is>
          <t>24AAGCV5438A1ZL</t>
        </is>
      </c>
      <c r="B28" s="113" t="inlineStr">
        <is>
          <t>VITAL SPACE MANAGEMENT PRIVATE LIMITED</t>
        </is>
      </c>
      <c r="C28" s="113" t="inlineStr">
        <is>
          <t>1</t>
        </is>
      </c>
      <c r="D28" s="113" t="inlineStr">
        <is>
          <t>05-04-2022</t>
        </is>
      </c>
      <c r="E28" s="113" t="n">
        <v>83320</v>
      </c>
      <c r="F28" s="113" t="n">
        <v>70610</v>
      </c>
      <c r="G28" s="113" t="n">
        <v>6354.9</v>
      </c>
      <c r="H28" s="113" t="n">
        <v>6354.9</v>
      </c>
      <c r="I28" s="113" t="inlineStr">
        <is>
          <t>09-May-22</t>
        </is>
      </c>
      <c r="L28" s="84" t="inlineStr">
        <is>
          <t>AVAILED IN MAY 2022(TO BE TRANS TO PROV CREDITORS)</t>
        </is>
      </c>
    </row>
    <row r="29">
      <c r="A29" s="116" t="inlineStr">
        <is>
          <t>24AAJFH1553N1Z7</t>
        </is>
      </c>
      <c r="B29" s="116" t="inlineStr">
        <is>
          <t>HARE KRUSHNA CONCRETE SOLUTIONS</t>
        </is>
      </c>
      <c r="C29" s="116" t="inlineStr">
        <is>
          <t>HKL/2122/3917</t>
        </is>
      </c>
      <c r="D29" s="116" t="inlineStr">
        <is>
          <t>11/03/2022</t>
        </is>
      </c>
      <c r="E29" s="117" t="n">
        <v>67815</v>
      </c>
      <c r="F29" s="117" t="n">
        <v>57470.33</v>
      </c>
      <c r="G29" s="117" t="n">
        <v>5172.33</v>
      </c>
      <c r="H29" s="117" t="n">
        <v>5172.33</v>
      </c>
      <c r="I29" s="116" t="inlineStr">
        <is>
          <t>12/04/2022</t>
        </is>
      </c>
      <c r="J29" s="118" t="n"/>
    </row>
    <row r="30">
      <c r="A30" s="116" t="inlineStr">
        <is>
          <t>24AAJFH1553N1Z7</t>
        </is>
      </c>
      <c r="B30" s="116" t="inlineStr">
        <is>
          <t>HARE KRUSHNA CONCRETE SOLUTIONS</t>
        </is>
      </c>
      <c r="C30" s="116" t="inlineStr">
        <is>
          <t>HKL/2122/3934</t>
        </is>
      </c>
      <c r="D30" s="116" t="inlineStr">
        <is>
          <t>12/03/2022</t>
        </is>
      </c>
      <c r="E30" s="117" t="n">
        <v>65760</v>
      </c>
      <c r="F30" s="117" t="n">
        <v>55728.8</v>
      </c>
      <c r="G30" s="117" t="n">
        <v>5015.59</v>
      </c>
      <c r="H30" s="117" t="n">
        <v>5015.59</v>
      </c>
      <c r="I30" s="116" t="inlineStr">
        <is>
          <t>12/04/2022</t>
        </is>
      </c>
      <c r="J30" s="118" t="n"/>
    </row>
    <row r="31" customFormat="1" s="136">
      <c r="A31" s="134" t="inlineStr">
        <is>
          <t>24AQJPB0661M1ZY</t>
        </is>
      </c>
      <c r="B31" s="134" t="inlineStr">
        <is>
          <t>S S Bhansali and Co</t>
        </is>
      </c>
      <c r="C31" s="134" t="inlineStr">
        <is>
          <t>2021-22-246</t>
        </is>
      </c>
      <c r="D31" s="134" t="inlineStr">
        <is>
          <t>07/01/2022</t>
        </is>
      </c>
      <c r="E31" s="135" t="n">
        <v>38350</v>
      </c>
      <c r="F31" s="135" t="n">
        <v>32500</v>
      </c>
      <c r="G31" s="135" t="n">
        <v>2925</v>
      </c>
      <c r="H31" s="135" t="n">
        <v>2925</v>
      </c>
      <c r="I31" s="134" t="inlineStr">
        <is>
          <t>19/04/2022</t>
        </is>
      </c>
      <c r="L31" s="962" t="inlineStr">
        <is>
          <t>NOT TO AVAIL AS CREDIT OF ATMOSPHERE</t>
        </is>
      </c>
    </row>
    <row r="32" customFormat="1" s="136">
      <c r="A32" s="134" t="inlineStr">
        <is>
          <t>24AQJPB0661M1ZY</t>
        </is>
      </c>
      <c r="B32" s="134" t="inlineStr">
        <is>
          <t>S S Bhansali and Co</t>
        </is>
      </c>
      <c r="C32" s="134" t="inlineStr">
        <is>
          <t>2021-22-359</t>
        </is>
      </c>
      <c r="D32" s="134" t="inlineStr">
        <is>
          <t>16/02/2022</t>
        </is>
      </c>
      <c r="E32" s="135" t="n">
        <v>11800</v>
      </c>
      <c r="F32" s="135" t="n">
        <v>10000</v>
      </c>
      <c r="G32" s="135" t="n">
        <v>900</v>
      </c>
      <c r="H32" s="135" t="n">
        <v>900</v>
      </c>
      <c r="I32" s="134" t="inlineStr">
        <is>
          <t>19/04/2022</t>
        </is>
      </c>
    </row>
    <row r="33">
      <c r="A33" s="116" t="inlineStr">
        <is>
          <t>24AKUPD2154N1ZV</t>
        </is>
      </c>
      <c r="B33" s="116" t="inlineStr">
        <is>
          <t>SURBHI ENTERPRISE</t>
        </is>
      </c>
      <c r="C33" s="116" t="inlineStr">
        <is>
          <t>141</t>
        </is>
      </c>
      <c r="D33" s="116" t="inlineStr">
        <is>
          <t>22/01/2022</t>
        </is>
      </c>
      <c r="E33" s="117" t="n">
        <v>7375</v>
      </c>
      <c r="F33" s="117" t="n">
        <v>6250</v>
      </c>
      <c r="G33" s="117" t="n">
        <v>562.5</v>
      </c>
      <c r="H33" s="117" t="n">
        <v>562.5</v>
      </c>
      <c r="I33" s="116" t="inlineStr">
        <is>
          <t>22/04/2022</t>
        </is>
      </c>
      <c r="J33" s="118" t="n"/>
    </row>
    <row r="34">
      <c r="A34" s="116" t="inlineStr">
        <is>
          <t>24AKUPD2154N1ZV</t>
        </is>
      </c>
      <c r="B34" s="116" t="inlineStr">
        <is>
          <t>SURBHI ENTERPRISE</t>
        </is>
      </c>
      <c r="C34" s="116" t="inlineStr">
        <is>
          <t>145</t>
        </is>
      </c>
      <c r="D34" s="116" t="inlineStr">
        <is>
          <t>26/01/2022</t>
        </is>
      </c>
      <c r="E34" s="117" t="n">
        <v>7375</v>
      </c>
      <c r="F34" s="117" t="n">
        <v>6250</v>
      </c>
      <c r="G34" s="117" t="n">
        <v>562.5</v>
      </c>
      <c r="H34" s="117" t="n">
        <v>562.5</v>
      </c>
      <c r="I34" s="116" t="inlineStr">
        <is>
          <t>22/04/2022</t>
        </is>
      </c>
      <c r="J34" s="118" t="n"/>
    </row>
  </sheetData>
  <autoFilter ref="A3:G13"/>
  <mergeCells count="5">
    <mergeCell ref="A12:D12"/>
    <mergeCell ref="A1:F1"/>
    <mergeCell ref="A14:H14"/>
    <mergeCell ref="L31:S32"/>
    <mergeCell ref="L19:S2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2026-10-01T09:43:47Z</dcterms:modified>
  <cp:lastModifiedBy>Naman  Shah</cp:lastModifiedBy>
  <cp:lastPrinted>2026-05-16T11:02:11Z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1033-11.2.0.9911</vt:lpwstr>
  </property>
</Properties>
</file>